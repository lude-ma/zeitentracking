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\\uh01501373.bmwgroup.net\home$\QXQ5957\Dokumente\ESPRiT\"/>
    </mc:Choice>
  </mc:AlternateContent>
  <bookViews>
    <workbookView xWindow="0" yWindow="0" windowWidth="28800" windowHeight="12105" activeTab="1"/>
  </bookViews>
  <sheets>
    <sheet name="Import from App" sheetId="1" r:id="rId1"/>
    <sheet name="Export for Valit" sheetId="2" r:id="rId2"/>
    <sheet name="Konfiguration" sheetId="3" r:id="rId3"/>
  </sheets>
  <functionGroups builtInGroupCount="18"/>
  <definedNames>
    <definedName name="KST">Konfiguration!$B$2:$B$9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" l="1"/>
  <c r="F16" i="2"/>
  <c r="G17" i="2"/>
  <c r="F17" i="2"/>
  <c r="G3" i="2"/>
  <c r="F3" i="2"/>
  <c r="F2" i="2"/>
  <c r="G2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D3" i="2"/>
  <c r="D7" i="2"/>
  <c r="D11" i="2"/>
  <c r="D15" i="2"/>
  <c r="D19" i="2"/>
  <c r="D23" i="2"/>
  <c r="D4" i="2"/>
  <c r="D16" i="2"/>
  <c r="D24" i="2"/>
  <c r="D5" i="2"/>
  <c r="D9" i="2"/>
  <c r="D13" i="2"/>
  <c r="D17" i="2"/>
  <c r="D21" i="2"/>
  <c r="D25" i="2"/>
  <c r="D29" i="2"/>
  <c r="D6" i="2"/>
  <c r="D10" i="2"/>
  <c r="D14" i="2"/>
  <c r="D18" i="2"/>
  <c r="D22" i="2"/>
  <c r="D26" i="2"/>
  <c r="D30" i="2"/>
  <c r="D27" i="2"/>
  <c r="D31" i="2"/>
  <c r="D8" i="2"/>
  <c r="D12" i="2"/>
  <c r="D20" i="2"/>
  <c r="D28" i="2"/>
  <c r="D32" i="2"/>
  <c r="D2" i="2"/>
  <c r="C27" i="2"/>
  <c r="C15" i="2"/>
  <c r="C3" i="2"/>
  <c r="C21" i="2"/>
  <c r="C25" i="2"/>
  <c r="C4" i="2"/>
  <c r="C26" i="2"/>
  <c r="C16" i="2"/>
  <c r="C24" i="2"/>
  <c r="C22" i="2"/>
  <c r="C12" i="2"/>
  <c r="C17" i="2"/>
  <c r="C28" i="2"/>
  <c r="C14" i="2"/>
  <c r="C23" i="2"/>
  <c r="C29" i="2"/>
  <c r="C6" i="2"/>
  <c r="C32" i="2"/>
  <c r="C30" i="2"/>
  <c r="C20" i="2"/>
  <c r="C7" i="2"/>
  <c r="C31" i="2"/>
  <c r="C11" i="2"/>
  <c r="C19" i="2"/>
  <c r="C5" i="2"/>
  <c r="C13" i="2"/>
  <c r="C8" i="2"/>
  <c r="C18" i="2"/>
  <c r="C2" i="2"/>
  <c r="C10" i="2"/>
  <c r="C9" i="2"/>
</calcChain>
</file>

<file path=xl/sharedStrings.xml><?xml version="1.0" encoding="utf-8"?>
<sst xmlns="http://schemas.openxmlformats.org/spreadsheetml/2006/main" count="338" uniqueCount="119">
  <si>
    <t>Einsatzort</t>
  </si>
  <si>
    <t>Cost Center (CCtr)</t>
  </si>
  <si>
    <t>Project (WBS)</t>
  </si>
  <si>
    <t>Billable</t>
  </si>
  <si>
    <t>Location</t>
  </si>
  <si>
    <t>Activity Description</t>
  </si>
  <si>
    <t>Phase</t>
  </si>
  <si>
    <t>Location 2</t>
  </si>
  <si>
    <t>Name (CCtr/WBS)</t>
  </si>
  <si>
    <t>Status</t>
  </si>
  <si>
    <t>CU</t>
  </si>
  <si>
    <t>BMW.059.03.80</t>
  </si>
  <si>
    <t>on site</t>
  </si>
  <si>
    <t>80500.80</t>
  </si>
  <si>
    <t>31300.80</t>
  </si>
  <si>
    <t>Internal Task</t>
  </si>
  <si>
    <t>Vacation</t>
  </si>
  <si>
    <t>BMW - Bordnetzarchitektur</t>
  </si>
  <si>
    <t>Project billable</t>
  </si>
  <si>
    <t>31100.80</t>
  </si>
  <si>
    <t>31200.80</t>
  </si>
  <si>
    <t>In-house Training</t>
  </si>
  <si>
    <t>External Training</t>
  </si>
  <si>
    <t>Kostenstellen</t>
  </si>
  <si>
    <t>47100.80</t>
  </si>
  <si>
    <t>Mentoring/Coaching</t>
  </si>
  <si>
    <t>remote</t>
  </si>
  <si>
    <t>EE</t>
  </si>
  <si>
    <t>Krankheit</t>
  </si>
  <si>
    <t>ESPRiT Engineering</t>
  </si>
  <si>
    <t>Marvin Ludersdorfer</t>
  </si>
  <si>
    <t>Wochentag</t>
  </si>
  <si>
    <t>Datum</t>
  </si>
  <si>
    <t>Schicht</t>
  </si>
  <si>
    <t>Von</t>
  </si>
  <si>
    <t>Bis</t>
  </si>
  <si>
    <t>Brutto</t>
  </si>
  <si>
    <t>Pause</t>
  </si>
  <si>
    <t>Netto</t>
  </si>
  <si>
    <t>Soll</t>
  </si>
  <si>
    <t>Differenz</t>
  </si>
  <si>
    <t>Mo.</t>
  </si>
  <si>
    <t>Summe</t>
  </si>
  <si>
    <t>Di.</t>
  </si>
  <si>
    <t>Mi.</t>
  </si>
  <si>
    <t>Do.</t>
  </si>
  <si>
    <t>Gleitzeit</t>
  </si>
  <si>
    <t>Fr.</t>
  </si>
  <si>
    <t>Sa.</t>
  </si>
  <si>
    <t>Ruhetag</t>
  </si>
  <si>
    <t>So.</t>
  </si>
  <si>
    <t>Gesamt</t>
  </si>
  <si>
    <t>S. Vormonat</t>
  </si>
  <si>
    <t>Saldo</t>
  </si>
  <si>
    <t>Special Vacation</t>
  </si>
  <si>
    <t>81100.80</t>
  </si>
  <si>
    <t>80600.80</t>
  </si>
  <si>
    <t>0,33</t>
  </si>
  <si>
    <t>0,67</t>
  </si>
  <si>
    <t>Urlaub</t>
  </si>
  <si>
    <t>9,33</t>
  </si>
  <si>
    <t>Home Office</t>
  </si>
  <si>
    <t>0,58</t>
  </si>
  <si>
    <t>8,58</t>
  </si>
  <si>
    <t>Notiz</t>
  </si>
  <si>
    <t>8,75</t>
  </si>
  <si>
    <t>0,75</t>
  </si>
  <si>
    <t>9,67</t>
  </si>
  <si>
    <t>8,5</t>
  </si>
  <si>
    <t>0,5</t>
  </si>
  <si>
    <t>8,17</t>
  </si>
  <si>
    <t>0,17</t>
  </si>
  <si>
    <t>0,83</t>
  </si>
  <si>
    <t>7,5</t>
  </si>
  <si>
    <t>9,58</t>
  </si>
  <si>
    <t>Feiertag</t>
  </si>
  <si>
    <t>BMW.062.01.80</t>
  </si>
  <si>
    <t>BMW - Funktionsentwicklung Klimasystem</t>
  </si>
  <si>
    <t>81200.80</t>
  </si>
  <si>
    <t>unbezahlter Urlaub</t>
  </si>
  <si>
    <t>9,25</t>
  </si>
  <si>
    <t>0,25</t>
  </si>
  <si>
    <t>9,5</t>
  </si>
  <si>
    <t>1,5</t>
  </si>
  <si>
    <t>8,25</t>
  </si>
  <si>
    <t>7,75</t>
  </si>
  <si>
    <t>7,25</t>
  </si>
  <si>
    <t>-0,75</t>
  </si>
  <si>
    <t>7,67</t>
  </si>
  <si>
    <t>0,42</t>
  </si>
  <si>
    <t>10,25</t>
  </si>
  <si>
    <t>9,75</t>
  </si>
  <si>
    <t>1,75</t>
  </si>
  <si>
    <t>-0,25</t>
  </si>
  <si>
    <t>9,17</t>
  </si>
  <si>
    <t>159,92</t>
  </si>
  <si>
    <t>150,25</t>
  </si>
  <si>
    <t>6,25</t>
  </si>
  <si>
    <t>02.01.2020</t>
  </si>
  <si>
    <t>03.01.2020</t>
  </si>
  <si>
    <t>07.01.2020</t>
  </si>
  <si>
    <t>08.01.2020</t>
  </si>
  <si>
    <t>09.01.2020</t>
  </si>
  <si>
    <t>10.01.2020</t>
  </si>
  <si>
    <t>13.01.2020</t>
  </si>
  <si>
    <t>14.01.2020</t>
  </si>
  <si>
    <t>15.01.2020</t>
  </si>
  <si>
    <t>16.01.2020</t>
  </si>
  <si>
    <t>17.01.2020</t>
  </si>
  <si>
    <t>20.01.2020</t>
  </si>
  <si>
    <t>21.01.2020</t>
  </si>
  <si>
    <t>22.01.2020</t>
  </si>
  <si>
    <t>23.01.2020</t>
  </si>
  <si>
    <t>24.01.2020</t>
  </si>
  <si>
    <t>27.01.2020</t>
  </si>
  <si>
    <t>28.01.2020</t>
  </si>
  <si>
    <t>29.01.2020</t>
  </si>
  <si>
    <t>30.01.2020</t>
  </si>
  <si>
    <t>31.01.2020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</si>
</sst>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2" fontId="0" fillId="0" borderId="0" xfId="0" applyNumberFormat="1"/>
    <xf numFmtId="0" fontId="0" fillId="7" borderId="0" xfId="0" applyFill="1" applyProtection="1">
      <protection locked="0" hidden="1"/>
    </xf>
    <xf numFmtId="0" fontId="0" fillId="8" borderId="0" xfId="0" applyFill="1" applyProtection="1">
      <protection locked="0" hidden="1"/>
    </xf>
    <xf numFmtId="0" fontId="0" fillId="5" borderId="0" xfId="0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2" fontId="0" fillId="6" borderId="0" xfId="0" applyNumberFormat="1" applyFill="1" applyProtection="1">
      <protection locked="0"/>
    </xf>
    <xf numFmtId="0" fontId="0" fillId="0" borderId="0" xfId="0" applyProtection="1">
      <protection locked="0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0" fontId="1" fillId="2" borderId="0" xfId="0" applyFont="1" applyFill="1" applyAlignment="1">
      <alignment horizontal="center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333375</xdr:colOff>
          <xdr:row>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L150"/>
  <sheetViews>
    <sheetView workbookViewId="0">
      <pane ySplit="2" topLeftCell="A3" activePane="bottomLeft" state="frozen"/>
      <selection pane="bottomLeft" activeCell="A3" sqref="A3:L72"/>
    </sheetView>
  </sheetViews>
  <sheetFormatPr baseColWidth="10" defaultRowHeight="15" x14ac:dyDescent="0.25"/>
  <sheetData>
    <row r="1" spans="1:12" s="6" customFormat="1" x14ac:dyDescent="0.25"/>
    <row r="2" spans="1:12" s="6" customFormat="1" x14ac:dyDescent="0.25"/>
    <row r="3" spans="1:12" ht="45" x14ac:dyDescent="0.25">
      <c r="A3" s="18" t="s">
        <v>29</v>
      </c>
      <c r="B3" s="18"/>
      <c r="C3" s="18"/>
      <c r="D3" s="18"/>
      <c r="E3" s="18" t="s">
        <v>30</v>
      </c>
      <c r="F3" s="18"/>
      <c r="G3" s="18"/>
      <c r="H3" s="18"/>
      <c r="I3" s="18"/>
      <c r="J3" s="18"/>
      <c r="K3" s="18"/>
      <c r="L3" s="18"/>
    </row>
    <row r="4" spans="1:12" x14ac:dyDescent="0.25">
      <c r="A4" s="18"/>
      <c r="B4" s="18"/>
      <c r="C4" s="19">
        <v>43831</v>
      </c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25">
      <c r="A7" s="18" t="s">
        <v>31</v>
      </c>
      <c r="B7" s="18" t="s">
        <v>32</v>
      </c>
      <c r="C7" s="18" t="s">
        <v>33</v>
      </c>
      <c r="D7" s="18" t="s">
        <v>0</v>
      </c>
      <c r="E7" s="18" t="s">
        <v>34</v>
      </c>
      <c r="F7" s="18" t="s">
        <v>35</v>
      </c>
      <c r="G7" s="18" t="s">
        <v>36</v>
      </c>
      <c r="H7" s="18" t="s">
        <v>37</v>
      </c>
      <c r="I7" s="18" t="s">
        <v>38</v>
      </c>
      <c r="J7" s="18" t="s">
        <v>39</v>
      </c>
      <c r="K7" s="18" t="s">
        <v>40</v>
      </c>
      <c r="L7" s="18" t="s">
        <v>64</v>
      </c>
    </row>
    <row r="8" spans="1:12" x14ac:dyDescent="0.25">
      <c r="A8" s="18" t="s">
        <v>44</v>
      </c>
      <c r="B8" s="20">
        <v>43831</v>
      </c>
      <c r="C8" s="18"/>
      <c r="D8" s="18" t="s">
        <v>75</v>
      </c>
      <c r="E8" s="18"/>
      <c r="F8" s="18"/>
      <c r="G8" s="18">
        <v>0</v>
      </c>
      <c r="H8" s="18">
        <v>0</v>
      </c>
      <c r="I8" s="18">
        <v>0</v>
      </c>
      <c r="J8" s="18"/>
      <c r="K8" s="18"/>
      <c r="L8" s="18"/>
    </row>
    <row r="9" spans="1:12" x14ac:dyDescent="0.25">
      <c r="A9" s="18" t="s">
        <v>42</v>
      </c>
      <c r="B9" s="18"/>
      <c r="C9" s="18"/>
      <c r="D9" s="18"/>
      <c r="E9" s="18"/>
      <c r="F9" s="18"/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/>
    </row>
    <row r="10" spans="1:12" x14ac:dyDescent="0.25">
      <c r="A10" s="18" t="s">
        <v>45</v>
      </c>
      <c r="B10" s="20">
        <v>43832</v>
      </c>
      <c r="C10" s="18"/>
      <c r="D10" s="18" t="s">
        <v>59</v>
      </c>
      <c r="E10" s="18"/>
      <c r="F10" s="18"/>
      <c r="G10" s="18">
        <v>0</v>
      </c>
      <c r="H10" s="18">
        <v>0</v>
      </c>
      <c r="I10" s="18">
        <v>0</v>
      </c>
      <c r="J10" s="18"/>
      <c r="K10" s="18"/>
      <c r="L10" s="18"/>
    </row>
    <row r="11" spans="1:12" x14ac:dyDescent="0.25">
      <c r="A11" s="18" t="s">
        <v>42</v>
      </c>
      <c r="B11" s="18"/>
      <c r="C11" s="18"/>
      <c r="D11" s="18"/>
      <c r="E11" s="18"/>
      <c r="F11" s="18"/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/>
    </row>
    <row r="12" spans="1:12" x14ac:dyDescent="0.25">
      <c r="A12" s="18" t="s">
        <v>47</v>
      </c>
      <c r="B12" s="20">
        <v>43833</v>
      </c>
      <c r="C12" s="18"/>
      <c r="D12" s="18" t="s">
        <v>59</v>
      </c>
      <c r="E12" s="18"/>
      <c r="F12" s="18"/>
      <c r="G12" s="18">
        <v>0</v>
      </c>
      <c r="H12" s="18">
        <v>0</v>
      </c>
      <c r="I12" s="18">
        <v>0</v>
      </c>
      <c r="J12" s="18"/>
      <c r="K12" s="18"/>
      <c r="L12" s="18"/>
    </row>
    <row r="13" spans="1:12" x14ac:dyDescent="0.25">
      <c r="A13" s="18" t="s">
        <v>42</v>
      </c>
      <c r="B13" s="18"/>
      <c r="C13" s="18"/>
      <c r="D13" s="18"/>
      <c r="E13" s="18"/>
      <c r="F13" s="18"/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/>
    </row>
    <row r="14" spans="1:12" x14ac:dyDescent="0.25">
      <c r="A14" s="18" t="s">
        <v>48</v>
      </c>
      <c r="B14" s="20">
        <v>43834</v>
      </c>
      <c r="C14" s="18"/>
      <c r="D14" s="18" t="s">
        <v>49</v>
      </c>
      <c r="E14" s="18"/>
      <c r="F14" s="18"/>
      <c r="G14" s="18">
        <v>0</v>
      </c>
      <c r="H14" s="18">
        <v>0</v>
      </c>
      <c r="I14" s="18">
        <v>0</v>
      </c>
      <c r="J14" s="18"/>
      <c r="K14" s="18"/>
      <c r="L14" s="18"/>
    </row>
    <row r="15" spans="1:12" x14ac:dyDescent="0.25">
      <c r="A15" s="18" t="s">
        <v>42</v>
      </c>
      <c r="B15" s="18"/>
      <c r="C15" s="18"/>
      <c r="D15" s="18"/>
      <c r="E15" s="18"/>
      <c r="F15" s="18"/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/>
    </row>
    <row r="16" spans="1:12" x14ac:dyDescent="0.25">
      <c r="A16" s="18" t="s">
        <v>50</v>
      </c>
      <c r="B16" s="20">
        <v>43835</v>
      </c>
      <c r="C16" s="18"/>
      <c r="D16" s="18" t="s">
        <v>49</v>
      </c>
      <c r="E16" s="18"/>
      <c r="F16" s="18"/>
      <c r="G16" s="18">
        <v>0</v>
      </c>
      <c r="H16" s="18">
        <v>0</v>
      </c>
      <c r="I16" s="18">
        <v>0</v>
      </c>
      <c r="J16" s="18"/>
      <c r="K16" s="18"/>
      <c r="L16" s="18"/>
    </row>
    <row r="17" spans="1:12" x14ac:dyDescent="0.25">
      <c r="A17" s="18" t="s">
        <v>42</v>
      </c>
      <c r="B17" s="18"/>
      <c r="C17" s="18"/>
      <c r="D17" s="18"/>
      <c r="E17" s="18"/>
      <c r="F17" s="18"/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/>
    </row>
    <row r="18" spans="1:12" x14ac:dyDescent="0.25">
      <c r="A18" s="18" t="s">
        <v>41</v>
      </c>
      <c r="B18" s="20">
        <v>43836</v>
      </c>
      <c r="C18" s="18"/>
      <c r="D18" s="18" t="s">
        <v>75</v>
      </c>
      <c r="E18" s="18"/>
      <c r="F18" s="18"/>
      <c r="G18" s="18">
        <v>0</v>
      </c>
      <c r="H18" s="18">
        <v>0</v>
      </c>
      <c r="I18" s="18">
        <v>0</v>
      </c>
      <c r="J18" s="18"/>
      <c r="K18" s="18"/>
      <c r="L18" s="18"/>
    </row>
    <row r="19" spans="1:12" x14ac:dyDescent="0.25">
      <c r="A19" s="18" t="s">
        <v>42</v>
      </c>
      <c r="B19" s="18"/>
      <c r="C19" s="18"/>
      <c r="D19" s="18"/>
      <c r="E19" s="18"/>
      <c r="F19" s="18"/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/>
    </row>
    <row r="20" spans="1:12" x14ac:dyDescent="0.25">
      <c r="A20" s="18" t="s">
        <v>43</v>
      </c>
      <c r="B20" s="20">
        <v>43837</v>
      </c>
      <c r="C20" s="18" t="s">
        <v>46</v>
      </c>
      <c r="D20" s="18" t="s">
        <v>27</v>
      </c>
      <c r="E20" s="21">
        <v>0.28819444444444448</v>
      </c>
      <c r="F20" s="21">
        <v>0.69097222222222221</v>
      </c>
      <c r="G20" s="18" t="s">
        <v>67</v>
      </c>
      <c r="H20" s="18" t="s">
        <v>58</v>
      </c>
      <c r="I20" s="18">
        <v>9</v>
      </c>
      <c r="J20" s="18"/>
      <c r="K20" s="18"/>
      <c r="L20" s="18"/>
    </row>
    <row r="21" spans="1:12" x14ac:dyDescent="0.25">
      <c r="A21" s="18" t="s">
        <v>42</v>
      </c>
      <c r="B21" s="18"/>
      <c r="C21" s="18"/>
      <c r="D21" s="18"/>
      <c r="E21" s="18"/>
      <c r="F21" s="18"/>
      <c r="G21" s="18" t="s">
        <v>67</v>
      </c>
      <c r="H21" s="18" t="s">
        <v>58</v>
      </c>
      <c r="I21" s="18">
        <v>9</v>
      </c>
      <c r="J21" s="18">
        <v>8</v>
      </c>
      <c r="K21" s="18">
        <v>1</v>
      </c>
      <c r="L21" s="18"/>
    </row>
    <row r="22" spans="1:12" x14ac:dyDescent="0.25">
      <c r="A22" s="18" t="s">
        <v>44</v>
      </c>
      <c r="B22" s="20">
        <v>43838</v>
      </c>
      <c r="C22" s="18" t="s">
        <v>46</v>
      </c>
      <c r="D22" s="18" t="s">
        <v>27</v>
      </c>
      <c r="E22" s="21">
        <v>0.2951388888888889</v>
      </c>
      <c r="F22" s="21">
        <v>0.67013888888888884</v>
      </c>
      <c r="G22" s="18">
        <v>9</v>
      </c>
      <c r="H22" s="18">
        <v>1</v>
      </c>
      <c r="I22" s="18">
        <v>8</v>
      </c>
      <c r="J22" s="18"/>
      <c r="K22" s="18"/>
      <c r="L22" s="18"/>
    </row>
    <row r="23" spans="1:12" x14ac:dyDescent="0.25">
      <c r="A23" s="18" t="s">
        <v>42</v>
      </c>
      <c r="B23" s="18"/>
      <c r="C23" s="18"/>
      <c r="D23" s="18"/>
      <c r="E23" s="18"/>
      <c r="F23" s="18"/>
      <c r="G23" s="18">
        <v>9</v>
      </c>
      <c r="H23" s="18">
        <v>1</v>
      </c>
      <c r="I23" s="18">
        <v>8</v>
      </c>
      <c r="J23" s="18">
        <v>8</v>
      </c>
      <c r="K23" s="18">
        <v>0</v>
      </c>
      <c r="L23" s="18"/>
    </row>
    <row r="24" spans="1:12" x14ac:dyDescent="0.25">
      <c r="A24" s="18" t="s">
        <v>45</v>
      </c>
      <c r="B24" s="20">
        <v>43839</v>
      </c>
      <c r="C24" s="18" t="s">
        <v>46</v>
      </c>
      <c r="D24" s="18" t="s">
        <v>27</v>
      </c>
      <c r="E24" s="21">
        <v>0.2951388888888889</v>
      </c>
      <c r="F24" s="21">
        <v>0.68055555555555547</v>
      </c>
      <c r="G24" s="18" t="s">
        <v>80</v>
      </c>
      <c r="H24" s="18" t="s">
        <v>69</v>
      </c>
      <c r="I24" s="18" t="s">
        <v>65</v>
      </c>
      <c r="J24" s="18"/>
      <c r="K24" s="18"/>
      <c r="L24" s="18"/>
    </row>
    <row r="25" spans="1:12" x14ac:dyDescent="0.25">
      <c r="A25" s="18" t="s">
        <v>42</v>
      </c>
      <c r="B25" s="18"/>
      <c r="C25" s="18"/>
      <c r="D25" s="18"/>
      <c r="E25" s="18"/>
      <c r="F25" s="18"/>
      <c r="G25" s="18" t="s">
        <v>80</v>
      </c>
      <c r="H25" s="18" t="s">
        <v>69</v>
      </c>
      <c r="I25" s="18" t="s">
        <v>65</v>
      </c>
      <c r="J25" s="18">
        <v>8</v>
      </c>
      <c r="K25" s="18" t="s">
        <v>66</v>
      </c>
      <c r="L25" s="18"/>
    </row>
    <row r="26" spans="1:12" x14ac:dyDescent="0.25">
      <c r="A26" s="18" t="s">
        <v>47</v>
      </c>
      <c r="B26" s="20">
        <v>43840</v>
      </c>
      <c r="C26" s="18" t="s">
        <v>46</v>
      </c>
      <c r="D26" s="18" t="s">
        <v>27</v>
      </c>
      <c r="E26" s="21">
        <v>0.28472222222222221</v>
      </c>
      <c r="F26" s="21">
        <v>0.64236111111111105</v>
      </c>
      <c r="G26" s="18" t="s">
        <v>63</v>
      </c>
      <c r="H26" s="18" t="s">
        <v>62</v>
      </c>
      <c r="I26" s="18">
        <v>8</v>
      </c>
      <c r="J26" s="18"/>
      <c r="K26" s="18"/>
      <c r="L26" s="18"/>
    </row>
    <row r="27" spans="1:12" x14ac:dyDescent="0.25">
      <c r="A27" s="18" t="s">
        <v>42</v>
      </c>
      <c r="B27" s="18"/>
      <c r="C27" s="18"/>
      <c r="D27" s="18"/>
      <c r="E27" s="18"/>
      <c r="F27" s="18"/>
      <c r="G27" s="18" t="s">
        <v>63</v>
      </c>
      <c r="H27" s="18" t="s">
        <v>62</v>
      </c>
      <c r="I27" s="18">
        <v>8</v>
      </c>
      <c r="J27" s="18">
        <v>8</v>
      </c>
      <c r="K27" s="18">
        <v>0</v>
      </c>
      <c r="L27" s="18"/>
    </row>
    <row r="28" spans="1:12" x14ac:dyDescent="0.25">
      <c r="A28" s="18" t="s">
        <v>48</v>
      </c>
      <c r="B28" s="20">
        <v>43841</v>
      </c>
      <c r="C28" s="18"/>
      <c r="D28" s="18" t="s">
        <v>49</v>
      </c>
      <c r="E28" s="18"/>
      <c r="F28" s="18"/>
      <c r="G28" s="18">
        <v>0</v>
      </c>
      <c r="H28" s="18">
        <v>0</v>
      </c>
      <c r="I28" s="18">
        <v>0</v>
      </c>
      <c r="J28" s="18"/>
      <c r="K28" s="18"/>
      <c r="L28" s="18"/>
    </row>
    <row r="29" spans="1:12" x14ac:dyDescent="0.25">
      <c r="A29" s="18" t="s">
        <v>42</v>
      </c>
      <c r="B29" s="18"/>
      <c r="C29" s="18"/>
      <c r="D29" s="18"/>
      <c r="E29" s="18"/>
      <c r="F29" s="18"/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/>
    </row>
    <row r="30" spans="1:12" x14ac:dyDescent="0.25">
      <c r="A30" s="18" t="s">
        <v>50</v>
      </c>
      <c r="B30" s="20">
        <v>43842</v>
      </c>
      <c r="C30" s="18"/>
      <c r="D30" s="18" t="s">
        <v>49</v>
      </c>
      <c r="E30" s="18"/>
      <c r="F30" s="18"/>
      <c r="G30" s="18">
        <v>0</v>
      </c>
      <c r="H30" s="18">
        <v>0</v>
      </c>
      <c r="I30" s="18">
        <v>0</v>
      </c>
      <c r="J30" s="18"/>
      <c r="K30" s="18"/>
      <c r="L30" s="18"/>
    </row>
    <row r="31" spans="1:12" x14ac:dyDescent="0.25">
      <c r="A31" s="18" t="s">
        <v>42</v>
      </c>
      <c r="B31" s="18"/>
      <c r="C31" s="18"/>
      <c r="D31" s="18"/>
      <c r="E31" s="18"/>
      <c r="F31" s="18"/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/>
    </row>
    <row r="32" spans="1:12" x14ac:dyDescent="0.25">
      <c r="A32" s="18" t="s">
        <v>41</v>
      </c>
      <c r="B32" s="20">
        <v>43843</v>
      </c>
      <c r="C32" s="18" t="s">
        <v>46</v>
      </c>
      <c r="D32" s="18" t="s">
        <v>27</v>
      </c>
      <c r="E32" s="21">
        <v>0.34375</v>
      </c>
      <c r="F32" s="21">
        <v>0.70833333333333337</v>
      </c>
      <c r="G32" s="18" t="s">
        <v>65</v>
      </c>
      <c r="H32" s="18" t="s">
        <v>81</v>
      </c>
      <c r="I32" s="18" t="s">
        <v>68</v>
      </c>
      <c r="J32" s="18"/>
      <c r="K32" s="18"/>
      <c r="L32" s="18"/>
    </row>
    <row r="33" spans="1:12" x14ac:dyDescent="0.25">
      <c r="A33" s="18" t="s">
        <v>42</v>
      </c>
      <c r="B33" s="18"/>
      <c r="C33" s="18"/>
      <c r="D33" s="18"/>
      <c r="E33" s="18"/>
      <c r="F33" s="18"/>
      <c r="G33" s="18" t="s">
        <v>65</v>
      </c>
      <c r="H33" s="18" t="s">
        <v>81</v>
      </c>
      <c r="I33" s="18" t="s">
        <v>68</v>
      </c>
      <c r="J33" s="18">
        <v>8</v>
      </c>
      <c r="K33" s="18" t="s">
        <v>69</v>
      </c>
      <c r="L33" s="18"/>
    </row>
    <row r="34" spans="1:12" ht="30" x14ac:dyDescent="0.25">
      <c r="A34" s="18" t="s">
        <v>43</v>
      </c>
      <c r="B34" s="20">
        <v>43844</v>
      </c>
      <c r="C34" s="18" t="s">
        <v>46</v>
      </c>
      <c r="D34" s="18" t="s">
        <v>61</v>
      </c>
      <c r="E34" s="21">
        <v>0.26041666666666669</v>
      </c>
      <c r="F34" s="21">
        <v>0.66319444444444442</v>
      </c>
      <c r="G34" s="18" t="s">
        <v>67</v>
      </c>
      <c r="H34" s="18" t="s">
        <v>71</v>
      </c>
      <c r="I34" s="18" t="s">
        <v>82</v>
      </c>
      <c r="J34" s="18"/>
      <c r="K34" s="18"/>
      <c r="L34" s="18"/>
    </row>
    <row r="35" spans="1:12" x14ac:dyDescent="0.25">
      <c r="A35" s="18" t="s">
        <v>42</v>
      </c>
      <c r="B35" s="18"/>
      <c r="C35" s="18"/>
      <c r="D35" s="18"/>
      <c r="E35" s="18"/>
      <c r="F35" s="18"/>
      <c r="G35" s="18" t="s">
        <v>67</v>
      </c>
      <c r="H35" s="18" t="s">
        <v>71</v>
      </c>
      <c r="I35" s="18" t="s">
        <v>82</v>
      </c>
      <c r="J35" s="18">
        <v>8</v>
      </c>
      <c r="K35" s="18" t="s">
        <v>83</v>
      </c>
      <c r="L35" s="18"/>
    </row>
    <row r="36" spans="1:12" x14ac:dyDescent="0.25">
      <c r="A36" s="18" t="s">
        <v>44</v>
      </c>
      <c r="B36" s="20">
        <v>43845</v>
      </c>
      <c r="C36" s="18" t="s">
        <v>46</v>
      </c>
      <c r="D36" s="18" t="s">
        <v>27</v>
      </c>
      <c r="E36" s="21">
        <v>0.28472222222222221</v>
      </c>
      <c r="F36" s="21">
        <v>0.64236111111111105</v>
      </c>
      <c r="G36" s="18" t="s">
        <v>63</v>
      </c>
      <c r="H36" s="18" t="s">
        <v>57</v>
      </c>
      <c r="I36" s="18" t="s">
        <v>84</v>
      </c>
      <c r="J36" s="18"/>
      <c r="K36" s="18"/>
      <c r="L36" s="18"/>
    </row>
    <row r="37" spans="1:12" x14ac:dyDescent="0.25">
      <c r="A37" s="18" t="s">
        <v>42</v>
      </c>
      <c r="B37" s="18"/>
      <c r="C37" s="18"/>
      <c r="D37" s="18"/>
      <c r="E37" s="18"/>
      <c r="F37" s="18"/>
      <c r="G37" s="18" t="s">
        <v>63</v>
      </c>
      <c r="H37" s="18" t="s">
        <v>57</v>
      </c>
      <c r="I37" s="18" t="s">
        <v>84</v>
      </c>
      <c r="J37" s="18">
        <v>8</v>
      </c>
      <c r="K37" s="18" t="s">
        <v>81</v>
      </c>
      <c r="L37" s="18"/>
    </row>
    <row r="38" spans="1:12" x14ac:dyDescent="0.25">
      <c r="A38" s="18" t="s">
        <v>45</v>
      </c>
      <c r="B38" s="20">
        <v>43846</v>
      </c>
      <c r="C38" s="18" t="s">
        <v>46</v>
      </c>
      <c r="D38" s="18" t="s">
        <v>27</v>
      </c>
      <c r="E38" s="21">
        <v>0.28819444444444448</v>
      </c>
      <c r="F38" s="21">
        <v>0.67708333333333337</v>
      </c>
      <c r="G38" s="18" t="s">
        <v>60</v>
      </c>
      <c r="H38" s="18" t="s">
        <v>62</v>
      </c>
      <c r="I38" s="18" t="s">
        <v>65</v>
      </c>
      <c r="J38" s="18"/>
      <c r="K38" s="18"/>
      <c r="L38" s="18"/>
    </row>
    <row r="39" spans="1:12" x14ac:dyDescent="0.25">
      <c r="A39" s="18" t="s">
        <v>42</v>
      </c>
      <c r="B39" s="18"/>
      <c r="C39" s="18"/>
      <c r="D39" s="18"/>
      <c r="E39" s="18"/>
      <c r="F39" s="18"/>
      <c r="G39" s="18" t="s">
        <v>60</v>
      </c>
      <c r="H39" s="18" t="s">
        <v>62</v>
      </c>
      <c r="I39" s="18" t="s">
        <v>65</v>
      </c>
      <c r="J39" s="18">
        <v>8</v>
      </c>
      <c r="K39" s="18" t="s">
        <v>66</v>
      </c>
      <c r="L39" s="18"/>
    </row>
    <row r="40" spans="1:12" x14ac:dyDescent="0.25">
      <c r="A40" s="18" t="s">
        <v>47</v>
      </c>
      <c r="B40" s="20">
        <v>43847</v>
      </c>
      <c r="C40" s="18"/>
      <c r="D40" s="18" t="s">
        <v>59</v>
      </c>
      <c r="E40" s="18"/>
      <c r="F40" s="18"/>
      <c r="G40" s="18">
        <v>0</v>
      </c>
      <c r="H40" s="18">
        <v>0</v>
      </c>
      <c r="I40" s="18">
        <v>0</v>
      </c>
      <c r="J40" s="18"/>
      <c r="K40" s="18"/>
      <c r="L40" s="18"/>
    </row>
    <row r="41" spans="1:12" x14ac:dyDescent="0.25">
      <c r="A41" s="18" t="s">
        <v>42</v>
      </c>
      <c r="B41" s="18"/>
      <c r="C41" s="18"/>
      <c r="D41" s="18"/>
      <c r="E41" s="18"/>
      <c r="F41" s="18"/>
      <c r="G41" s="18">
        <v>0</v>
      </c>
      <c r="H41" s="18">
        <v>0</v>
      </c>
      <c r="I41" s="18">
        <v>0</v>
      </c>
      <c r="J41" s="18">
        <v>0</v>
      </c>
      <c r="K41" s="18">
        <v>0</v>
      </c>
      <c r="L41" s="18"/>
    </row>
    <row r="42" spans="1:12" x14ac:dyDescent="0.25">
      <c r="A42" s="18" t="s">
        <v>48</v>
      </c>
      <c r="B42" s="20">
        <v>43848</v>
      </c>
      <c r="C42" s="18"/>
      <c r="D42" s="18" t="s">
        <v>49</v>
      </c>
      <c r="E42" s="18"/>
      <c r="F42" s="18"/>
      <c r="G42" s="18">
        <v>0</v>
      </c>
      <c r="H42" s="18">
        <v>0</v>
      </c>
      <c r="I42" s="18">
        <v>0</v>
      </c>
      <c r="J42" s="18"/>
      <c r="K42" s="18"/>
      <c r="L42" s="18"/>
    </row>
    <row r="43" spans="1:12" x14ac:dyDescent="0.25">
      <c r="A43" s="18" t="s">
        <v>42</v>
      </c>
      <c r="B43" s="18"/>
      <c r="C43" s="18"/>
      <c r="D43" s="18"/>
      <c r="E43" s="18"/>
      <c r="F43" s="18"/>
      <c r="G43" s="18">
        <v>0</v>
      </c>
      <c r="H43" s="18">
        <v>0</v>
      </c>
      <c r="I43" s="18">
        <v>0</v>
      </c>
      <c r="J43" s="18">
        <v>0</v>
      </c>
      <c r="K43" s="18">
        <v>0</v>
      </c>
      <c r="L43" s="18"/>
    </row>
    <row r="44" spans="1:12" x14ac:dyDescent="0.25">
      <c r="A44" s="18" t="s">
        <v>50</v>
      </c>
      <c r="B44" s="20">
        <v>43849</v>
      </c>
      <c r="C44" s="18"/>
      <c r="D44" s="18" t="s">
        <v>49</v>
      </c>
      <c r="E44" s="18"/>
      <c r="F44" s="18"/>
      <c r="G44" s="18">
        <v>0</v>
      </c>
      <c r="H44" s="18">
        <v>0</v>
      </c>
      <c r="I44" s="18">
        <v>0</v>
      </c>
      <c r="J44" s="18"/>
      <c r="K44" s="18"/>
      <c r="L44" s="18"/>
    </row>
    <row r="45" spans="1:12" x14ac:dyDescent="0.25">
      <c r="A45" s="18" t="s">
        <v>42</v>
      </c>
      <c r="B45" s="18"/>
      <c r="C45" s="18"/>
      <c r="D45" s="18"/>
      <c r="E45" s="18"/>
      <c r="F45" s="18"/>
      <c r="G45" s="18">
        <v>0</v>
      </c>
      <c r="H45" s="18">
        <v>0</v>
      </c>
      <c r="I45" s="18">
        <v>0</v>
      </c>
      <c r="J45" s="18">
        <v>0</v>
      </c>
      <c r="K45" s="18">
        <v>0</v>
      </c>
      <c r="L45" s="18"/>
    </row>
    <row r="46" spans="1:12" x14ac:dyDescent="0.25">
      <c r="A46" s="18" t="s">
        <v>41</v>
      </c>
      <c r="B46" s="20">
        <v>43850</v>
      </c>
      <c r="C46" s="18" t="s">
        <v>46</v>
      </c>
      <c r="D46" s="18" t="s">
        <v>27</v>
      </c>
      <c r="E46" s="21">
        <v>0.34375</v>
      </c>
      <c r="F46" s="21">
        <v>0.66666666666666663</v>
      </c>
      <c r="G46" s="18" t="s">
        <v>85</v>
      </c>
      <c r="H46" s="18" t="s">
        <v>69</v>
      </c>
      <c r="I46" s="18" t="s">
        <v>86</v>
      </c>
      <c r="J46" s="18"/>
      <c r="K46" s="18"/>
      <c r="L46" s="18"/>
    </row>
    <row r="47" spans="1:12" x14ac:dyDescent="0.25">
      <c r="A47" s="18" t="s">
        <v>42</v>
      </c>
      <c r="B47" s="18"/>
      <c r="C47" s="18"/>
      <c r="D47" s="18"/>
      <c r="E47" s="18"/>
      <c r="F47" s="18"/>
      <c r="G47" s="18" t="s">
        <v>85</v>
      </c>
      <c r="H47" s="18" t="s">
        <v>69</v>
      </c>
      <c r="I47" s="18" t="s">
        <v>86</v>
      </c>
      <c r="J47" s="18">
        <v>8</v>
      </c>
      <c r="K47" s="18" t="s">
        <v>87</v>
      </c>
      <c r="L47" s="18"/>
    </row>
    <row r="48" spans="1:12" x14ac:dyDescent="0.25">
      <c r="A48" s="18" t="s">
        <v>43</v>
      </c>
      <c r="B48" s="20">
        <v>43851</v>
      </c>
      <c r="C48" s="18" t="s">
        <v>46</v>
      </c>
      <c r="D48" s="18" t="s">
        <v>27</v>
      </c>
      <c r="E48" s="21">
        <v>0.3125</v>
      </c>
      <c r="F48" s="21">
        <v>0.63194444444444442</v>
      </c>
      <c r="G48" s="18" t="s">
        <v>88</v>
      </c>
      <c r="H48" s="18" t="s">
        <v>89</v>
      </c>
      <c r="I48" s="18" t="s">
        <v>86</v>
      </c>
      <c r="J48" s="18"/>
      <c r="K48" s="18"/>
      <c r="L48" s="18"/>
    </row>
    <row r="49" spans="1:12" x14ac:dyDescent="0.25">
      <c r="A49" s="18" t="s">
        <v>42</v>
      </c>
      <c r="B49" s="18"/>
      <c r="C49" s="18"/>
      <c r="D49" s="18"/>
      <c r="E49" s="18"/>
      <c r="F49" s="18"/>
      <c r="G49" s="18" t="s">
        <v>88</v>
      </c>
      <c r="H49" s="18" t="s">
        <v>89</v>
      </c>
      <c r="I49" s="18" t="s">
        <v>86</v>
      </c>
      <c r="J49" s="18">
        <v>8</v>
      </c>
      <c r="K49" s="18" t="s">
        <v>87</v>
      </c>
      <c r="L49" s="18"/>
    </row>
    <row r="50" spans="1:12" ht="30" x14ac:dyDescent="0.25">
      <c r="A50" s="18" t="s">
        <v>44</v>
      </c>
      <c r="B50" s="20">
        <v>43852</v>
      </c>
      <c r="C50" s="18" t="s">
        <v>46</v>
      </c>
      <c r="D50" s="18" t="s">
        <v>61</v>
      </c>
      <c r="E50" s="21">
        <v>0.25694444444444448</v>
      </c>
      <c r="F50" s="21">
        <v>0.68402777777777779</v>
      </c>
      <c r="G50" s="18" t="s">
        <v>90</v>
      </c>
      <c r="H50" s="18" t="s">
        <v>69</v>
      </c>
      <c r="I50" s="18" t="s">
        <v>91</v>
      </c>
      <c r="J50" s="18"/>
      <c r="K50" s="18"/>
      <c r="L50" s="18"/>
    </row>
    <row r="51" spans="1:12" x14ac:dyDescent="0.25">
      <c r="A51" s="18" t="s">
        <v>42</v>
      </c>
      <c r="B51" s="18"/>
      <c r="C51" s="18"/>
      <c r="D51" s="18"/>
      <c r="E51" s="18"/>
      <c r="F51" s="18"/>
      <c r="G51" s="18" t="s">
        <v>90</v>
      </c>
      <c r="H51" s="18" t="s">
        <v>69</v>
      </c>
      <c r="I51" s="18" t="s">
        <v>91</v>
      </c>
      <c r="J51" s="18">
        <v>8</v>
      </c>
      <c r="K51" s="18" t="s">
        <v>92</v>
      </c>
      <c r="L51" s="18"/>
    </row>
    <row r="52" spans="1:12" x14ac:dyDescent="0.25">
      <c r="A52" s="18" t="s">
        <v>45</v>
      </c>
      <c r="B52" s="20">
        <v>43853</v>
      </c>
      <c r="C52" s="18" t="s">
        <v>46</v>
      </c>
      <c r="D52" s="18" t="s">
        <v>27</v>
      </c>
      <c r="E52" s="21">
        <v>0.28819444444444448</v>
      </c>
      <c r="F52" s="21">
        <v>0.62847222222222221</v>
      </c>
      <c r="G52" s="18" t="s">
        <v>70</v>
      </c>
      <c r="H52" s="18" t="s">
        <v>89</v>
      </c>
      <c r="I52" s="18" t="s">
        <v>85</v>
      </c>
      <c r="J52" s="18"/>
      <c r="K52" s="18"/>
      <c r="L52" s="18"/>
    </row>
    <row r="53" spans="1:12" x14ac:dyDescent="0.25">
      <c r="A53" s="18" t="s">
        <v>42</v>
      </c>
      <c r="B53" s="18"/>
      <c r="C53" s="18"/>
      <c r="D53" s="18"/>
      <c r="E53" s="18"/>
      <c r="F53" s="18"/>
      <c r="G53" s="18" t="s">
        <v>70</v>
      </c>
      <c r="H53" s="18" t="s">
        <v>89</v>
      </c>
      <c r="I53" s="18" t="s">
        <v>85</v>
      </c>
      <c r="J53" s="18">
        <v>8</v>
      </c>
      <c r="K53" s="18" t="s">
        <v>93</v>
      </c>
      <c r="L53" s="18"/>
    </row>
    <row r="54" spans="1:12" x14ac:dyDescent="0.25">
      <c r="A54" s="18" t="s">
        <v>47</v>
      </c>
      <c r="B54" s="20">
        <v>43854</v>
      </c>
      <c r="C54" s="18" t="s">
        <v>46</v>
      </c>
      <c r="D54" s="18" t="s">
        <v>27</v>
      </c>
      <c r="E54" s="21">
        <v>0.28819444444444448</v>
      </c>
      <c r="F54" s="21">
        <v>0.6875</v>
      </c>
      <c r="G54" s="18" t="s">
        <v>74</v>
      </c>
      <c r="H54" s="18" t="s">
        <v>72</v>
      </c>
      <c r="I54" s="18" t="s">
        <v>65</v>
      </c>
      <c r="J54" s="18"/>
      <c r="K54" s="18"/>
      <c r="L54" s="18"/>
    </row>
    <row r="55" spans="1:12" x14ac:dyDescent="0.25">
      <c r="A55" s="18" t="s">
        <v>42</v>
      </c>
      <c r="B55" s="18"/>
      <c r="C55" s="18"/>
      <c r="D55" s="18"/>
      <c r="E55" s="18"/>
      <c r="F55" s="18"/>
      <c r="G55" s="18" t="s">
        <v>74</v>
      </c>
      <c r="H55" s="18" t="s">
        <v>72</v>
      </c>
      <c r="I55" s="18" t="s">
        <v>65</v>
      </c>
      <c r="J55" s="18">
        <v>8</v>
      </c>
      <c r="K55" s="18" t="s">
        <v>66</v>
      </c>
      <c r="L55" s="18"/>
    </row>
    <row r="56" spans="1:12" x14ac:dyDescent="0.25">
      <c r="A56" s="18" t="s">
        <v>48</v>
      </c>
      <c r="B56" s="20">
        <v>43855</v>
      </c>
      <c r="C56" s="18"/>
      <c r="D56" s="18" t="s">
        <v>49</v>
      </c>
      <c r="E56" s="18"/>
      <c r="F56" s="18"/>
      <c r="G56" s="18">
        <v>0</v>
      </c>
      <c r="H56" s="18">
        <v>0</v>
      </c>
      <c r="I56" s="18">
        <v>0</v>
      </c>
      <c r="J56" s="18"/>
      <c r="K56" s="18"/>
      <c r="L56" s="18"/>
    </row>
    <row r="57" spans="1:12" x14ac:dyDescent="0.25">
      <c r="A57" s="18" t="s">
        <v>42</v>
      </c>
      <c r="B57" s="18"/>
      <c r="C57" s="18"/>
      <c r="D57" s="18"/>
      <c r="E57" s="18"/>
      <c r="F57" s="18"/>
      <c r="G57" s="18">
        <v>0</v>
      </c>
      <c r="H57" s="18">
        <v>0</v>
      </c>
      <c r="I57" s="18">
        <v>0</v>
      </c>
      <c r="J57" s="18">
        <v>0</v>
      </c>
      <c r="K57" s="18">
        <v>0</v>
      </c>
      <c r="L57" s="18"/>
    </row>
    <row r="58" spans="1:12" x14ac:dyDescent="0.25">
      <c r="A58" s="18" t="s">
        <v>50</v>
      </c>
      <c r="B58" s="20">
        <v>43856</v>
      </c>
      <c r="C58" s="18"/>
      <c r="D58" s="18" t="s">
        <v>49</v>
      </c>
      <c r="E58" s="18"/>
      <c r="F58" s="18"/>
      <c r="G58" s="18">
        <v>0</v>
      </c>
      <c r="H58" s="18">
        <v>0</v>
      </c>
      <c r="I58" s="18">
        <v>0</v>
      </c>
      <c r="J58" s="18"/>
      <c r="K58" s="18"/>
      <c r="L58" s="18"/>
    </row>
    <row r="59" spans="1:12" x14ac:dyDescent="0.25">
      <c r="A59" s="18" t="s">
        <v>42</v>
      </c>
      <c r="B59" s="18"/>
      <c r="C59" s="18"/>
      <c r="D59" s="18"/>
      <c r="E59" s="18"/>
      <c r="F59" s="18"/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/>
    </row>
    <row r="60" spans="1:12" x14ac:dyDescent="0.25">
      <c r="A60" s="18" t="s">
        <v>41</v>
      </c>
      <c r="B60" s="20">
        <v>43857</v>
      </c>
      <c r="C60" s="18" t="s">
        <v>46</v>
      </c>
      <c r="D60" s="18" t="s">
        <v>27</v>
      </c>
      <c r="E60" s="21">
        <v>0.34375</v>
      </c>
      <c r="F60" s="21">
        <v>0.72569444444444453</v>
      </c>
      <c r="G60" s="18" t="s">
        <v>94</v>
      </c>
      <c r="H60" s="18" t="s">
        <v>58</v>
      </c>
      <c r="I60" s="18" t="s">
        <v>68</v>
      </c>
      <c r="J60" s="18"/>
      <c r="K60" s="18"/>
      <c r="L60" s="18"/>
    </row>
    <row r="61" spans="1:12" x14ac:dyDescent="0.25">
      <c r="A61" s="18" t="s">
        <v>42</v>
      </c>
      <c r="B61" s="18"/>
      <c r="C61" s="18"/>
      <c r="D61" s="18"/>
      <c r="E61" s="18"/>
      <c r="F61" s="18"/>
      <c r="G61" s="18" t="s">
        <v>94</v>
      </c>
      <c r="H61" s="18" t="s">
        <v>58</v>
      </c>
      <c r="I61" s="18" t="s">
        <v>68</v>
      </c>
      <c r="J61" s="18">
        <v>8</v>
      </c>
      <c r="K61" s="18" t="s">
        <v>69</v>
      </c>
      <c r="L61" s="18"/>
    </row>
    <row r="62" spans="1:12" x14ac:dyDescent="0.25">
      <c r="A62" s="18" t="s">
        <v>43</v>
      </c>
      <c r="B62" s="20">
        <v>43858</v>
      </c>
      <c r="C62" s="18" t="s">
        <v>46</v>
      </c>
      <c r="D62" s="18" t="s">
        <v>27</v>
      </c>
      <c r="E62" s="21">
        <v>0.28819444444444448</v>
      </c>
      <c r="F62" s="21">
        <v>0.60069444444444442</v>
      </c>
      <c r="G62" s="18" t="s">
        <v>73</v>
      </c>
      <c r="H62" s="18" t="s">
        <v>69</v>
      </c>
      <c r="I62" s="18">
        <v>7</v>
      </c>
      <c r="J62" s="18"/>
      <c r="K62" s="18"/>
      <c r="L62" s="18"/>
    </row>
    <row r="63" spans="1:12" x14ac:dyDescent="0.25">
      <c r="A63" s="18" t="s">
        <v>42</v>
      </c>
      <c r="B63" s="18"/>
      <c r="C63" s="18"/>
      <c r="D63" s="18"/>
      <c r="E63" s="18"/>
      <c r="F63" s="18"/>
      <c r="G63" s="18" t="s">
        <v>73</v>
      </c>
      <c r="H63" s="18" t="s">
        <v>69</v>
      </c>
      <c r="I63" s="18">
        <v>7</v>
      </c>
      <c r="J63" s="18">
        <v>8</v>
      </c>
      <c r="K63" s="18">
        <v>-1</v>
      </c>
      <c r="L63" s="18"/>
    </row>
    <row r="64" spans="1:12" ht="30" x14ac:dyDescent="0.25">
      <c r="A64" s="18" t="s">
        <v>44</v>
      </c>
      <c r="B64" s="20">
        <v>43859</v>
      </c>
      <c r="C64" s="18" t="s">
        <v>46</v>
      </c>
      <c r="D64" s="18" t="s">
        <v>61</v>
      </c>
      <c r="E64" s="21">
        <v>0.25694444444444448</v>
      </c>
      <c r="F64" s="21">
        <v>0.66319444444444442</v>
      </c>
      <c r="G64" s="18" t="s">
        <v>91</v>
      </c>
      <c r="H64" s="18" t="s">
        <v>66</v>
      </c>
      <c r="I64" s="18">
        <v>9</v>
      </c>
      <c r="J64" s="18"/>
      <c r="K64" s="18"/>
      <c r="L64" s="18"/>
    </row>
    <row r="65" spans="1:12" x14ac:dyDescent="0.25">
      <c r="A65" s="18" t="s">
        <v>42</v>
      </c>
      <c r="B65" s="18"/>
      <c r="C65" s="18"/>
      <c r="D65" s="18"/>
      <c r="E65" s="18"/>
      <c r="F65" s="18"/>
      <c r="G65" s="18" t="s">
        <v>91</v>
      </c>
      <c r="H65" s="18" t="s">
        <v>66</v>
      </c>
      <c r="I65" s="18">
        <v>9</v>
      </c>
      <c r="J65" s="18">
        <v>8</v>
      </c>
      <c r="K65" s="18">
        <v>1</v>
      </c>
      <c r="L65" s="18"/>
    </row>
    <row r="66" spans="1:12" x14ac:dyDescent="0.25">
      <c r="A66" s="18" t="s">
        <v>45</v>
      </c>
      <c r="B66" s="20">
        <v>43860</v>
      </c>
      <c r="C66" s="18" t="s">
        <v>46</v>
      </c>
      <c r="D66" s="18" t="s">
        <v>27</v>
      </c>
      <c r="E66" s="21">
        <v>0.28819444444444448</v>
      </c>
      <c r="F66" s="21">
        <v>0.66319444444444442</v>
      </c>
      <c r="G66" s="18">
        <v>9</v>
      </c>
      <c r="H66" s="18" t="s">
        <v>69</v>
      </c>
      <c r="I66" s="18" t="s">
        <v>68</v>
      </c>
      <c r="J66" s="18"/>
      <c r="K66" s="18"/>
      <c r="L66" s="18"/>
    </row>
    <row r="67" spans="1:12" x14ac:dyDescent="0.25">
      <c r="A67" s="18" t="s">
        <v>42</v>
      </c>
      <c r="B67" s="18"/>
      <c r="C67" s="18"/>
      <c r="D67" s="18"/>
      <c r="E67" s="18"/>
      <c r="F67" s="18"/>
      <c r="G67" s="18">
        <v>9</v>
      </c>
      <c r="H67" s="18" t="s">
        <v>69</v>
      </c>
      <c r="I67" s="18" t="s">
        <v>68</v>
      </c>
      <c r="J67" s="18">
        <v>8</v>
      </c>
      <c r="K67" s="18" t="s">
        <v>69</v>
      </c>
      <c r="L67" s="18"/>
    </row>
    <row r="68" spans="1:12" x14ac:dyDescent="0.25">
      <c r="A68" s="18" t="s">
        <v>47</v>
      </c>
      <c r="B68" s="20">
        <v>43861</v>
      </c>
      <c r="C68" s="18" t="s">
        <v>46</v>
      </c>
      <c r="D68" s="18" t="s">
        <v>27</v>
      </c>
      <c r="E68" s="21">
        <v>0.30902777777777779</v>
      </c>
      <c r="F68" s="21">
        <v>0.65277777777777779</v>
      </c>
      <c r="G68" s="18" t="s">
        <v>84</v>
      </c>
      <c r="H68" s="18" t="s">
        <v>69</v>
      </c>
      <c r="I68" s="18" t="s">
        <v>85</v>
      </c>
      <c r="J68" s="18"/>
      <c r="K68" s="18"/>
      <c r="L68" s="18"/>
    </row>
    <row r="69" spans="1:12" x14ac:dyDescent="0.25">
      <c r="A69" s="18" t="s">
        <v>42</v>
      </c>
      <c r="B69" s="18"/>
      <c r="C69" s="18"/>
      <c r="D69" s="18"/>
      <c r="E69" s="18"/>
      <c r="F69" s="18"/>
      <c r="G69" s="18" t="s">
        <v>84</v>
      </c>
      <c r="H69" s="18" t="s">
        <v>69</v>
      </c>
      <c r="I69" s="18" t="s">
        <v>85</v>
      </c>
      <c r="J69" s="18">
        <v>8</v>
      </c>
      <c r="K69" s="18" t="s">
        <v>93</v>
      </c>
      <c r="L69" s="18"/>
    </row>
    <row r="70" spans="1:12" x14ac:dyDescent="0.25">
      <c r="A70" s="18" t="s">
        <v>51</v>
      </c>
      <c r="B70" s="18"/>
      <c r="C70" s="18"/>
      <c r="D70" s="18"/>
      <c r="E70" s="18"/>
      <c r="F70" s="18"/>
      <c r="G70" s="18" t="s">
        <v>95</v>
      </c>
      <c r="H70" s="18" t="s">
        <v>67</v>
      </c>
      <c r="I70" s="18" t="s">
        <v>96</v>
      </c>
      <c r="J70" s="18">
        <v>144</v>
      </c>
      <c r="K70" s="18" t="s">
        <v>97</v>
      </c>
      <c r="L70" s="18"/>
    </row>
    <row r="71" spans="1:12" ht="30" x14ac:dyDescent="0.25">
      <c r="A71" s="18" t="s">
        <v>52</v>
      </c>
      <c r="B71" s="18"/>
      <c r="C71" s="18"/>
      <c r="D71" s="18"/>
      <c r="E71" s="18"/>
      <c r="F71" s="18"/>
      <c r="G71" s="18"/>
      <c r="H71" s="18"/>
      <c r="I71" s="18"/>
      <c r="J71" s="18"/>
      <c r="K71" s="18">
        <v>0</v>
      </c>
      <c r="L71" s="18"/>
    </row>
    <row r="72" spans="1:12" x14ac:dyDescent="0.25">
      <c r="A72" s="18" t="s">
        <v>53</v>
      </c>
      <c r="B72" s="18"/>
      <c r="C72" s="18"/>
      <c r="D72" s="18"/>
      <c r="E72" s="18"/>
      <c r="F72" s="18"/>
      <c r="G72" s="18"/>
      <c r="H72" s="18"/>
      <c r="I72" s="18"/>
      <c r="J72" s="18"/>
      <c r="K72" s="18" t="s">
        <v>97</v>
      </c>
      <c r="L72" s="18"/>
    </row>
    <row r="73" spans="1:12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</row>
    <row r="74" spans="1:12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2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2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2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2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2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2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333375</xdr:colOff>
                <xdr:row>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O51"/>
  <sheetViews>
    <sheetView tabSelected="1" workbookViewId="0">
      <pane ySplit="1" topLeftCell="A2" activePane="bottomLeft" state="frozen"/>
      <selection pane="bottomLeft" activeCell="F25" sqref="F25"/>
    </sheetView>
  </sheetViews>
  <sheetFormatPr baseColWidth="10" defaultRowHeight="15" x14ac:dyDescent="0.25"/>
  <cols>
    <col min="1" max="1" width="9.7109375" customWidth="1"/>
    <col min="2" max="2" width="10.140625" customWidth="1"/>
    <col min="3" max="3" width="17" bestFit="1" customWidth="1"/>
    <col min="4" max="4" width="14.42578125" customWidth="1"/>
    <col min="5" max="5" width="7.5703125" customWidth="1"/>
    <col min="6" max="6" width="14.42578125" customWidth="1"/>
    <col min="7" max="7" width="8.42578125" bestFit="1" customWidth="1"/>
    <col min="8" max="8" width="39.28515625" bestFit="1" customWidth="1"/>
    <col min="9" max="9" width="6.28515625" bestFit="1" customWidth="1"/>
    <col min="10" max="10" width="9.85546875" bestFit="1" customWidth="1"/>
    <col min="11" max="11" width="17" bestFit="1" customWidth="1"/>
    <col min="12" max="12" width="6.42578125" bestFit="1" customWidth="1"/>
    <col min="13" max="13" width="3.5703125" bestFit="1" customWidth="1"/>
  </cols>
  <sheetData>
    <row r="1" spans="1:15" x14ac:dyDescent="0.25">
      <c r="A1" s="2"/>
      <c r="B1" s="2"/>
      <c r="C1" s="2" t="s">
        <v>1</v>
      </c>
      <c r="D1" s="2" t="s">
        <v>2</v>
      </c>
      <c r="E1" s="2">
        <v>0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5" x14ac:dyDescent="0.25">
      <c r="A2" s="11" t="s">
        <v>59</v>
      </c>
      <c r="B2" s="12" t="s">
        <v>98</v>
      </c>
      <c r="C2" s="7" t="str">
        <f ca="1">IFERROR(INDIRECT(ADDRESS(MATCH($H2, Konfiguration!$B$2:'Konfiguration'!$B$9, 0) + 1,1,1,1,"Konfiguration")), "")</f>
        <v>80500.80</v>
      </c>
      <c r="D2" s="7" t="str">
        <f ca="1">IFERROR(INDIRECT(ADDRESS(MATCH($H2, Konfiguration!$B$10:'Konfiguration'!$B$12, 0) + 9,1,1,1,"Konfiguration")), "")</f>
        <v/>
      </c>
      <c r="E2" s="14">
        <v>8</v>
      </c>
      <c r="F2" s="7" t="str">
        <f>IF($A2="BMW", Konfiguration!$C$2, IF($A2="EE", Konfiguration!$C$2, ""))</f>
        <v/>
      </c>
      <c r="G2" s="7" t="str">
        <f>IF($A2="BMW", Konfiguration!$D$2, IF($A2="EE", Konfiguration!$D$3, ""))</f>
        <v/>
      </c>
      <c r="H2" s="9" t="s">
        <v>16</v>
      </c>
      <c r="I2" s="7"/>
      <c r="J2" s="7"/>
      <c r="K2" s="7"/>
      <c r="L2" s="7"/>
      <c r="M2" s="7"/>
      <c r="O2" s="3"/>
    </row>
    <row r="3" spans="1:15" x14ac:dyDescent="0.25">
      <c r="A3" s="11" t="s">
        <v>59</v>
      </c>
      <c r="B3" s="12" t="s">
        <v>99</v>
      </c>
      <c r="C3" s="7" t="str">
        <f ca="1">IFERROR(INDIRECT(ADDRESS(MATCH($H3, Konfiguration!$B$2:'Konfiguration'!$B$9, 0) + 1,1,1,1,"Konfiguration")), "")</f>
        <v>80500.80</v>
      </c>
      <c r="D3" s="7" t="str">
        <f ca="1">IFERROR(INDIRECT(ADDRESS(MATCH($H3, Konfiguration!$B$10:'Konfiguration'!$B$12, 0) + 9,1,1,1,"Konfiguration")), "")</f>
        <v/>
      </c>
      <c r="E3" s="14">
        <v>8</v>
      </c>
      <c r="F3" s="7" t="str">
        <f>IF($A3="BMW", Konfiguration!$C$2, IF($A3="EE", Konfiguration!$C$2, ""))</f>
        <v/>
      </c>
      <c r="G3" s="7" t="str">
        <f>IF($A3="BMW", Konfiguration!$D$2, IF($A3="EE", Konfiguration!$D$3, ""))</f>
        <v/>
      </c>
      <c r="H3" s="9" t="s">
        <v>16</v>
      </c>
      <c r="I3" s="7"/>
      <c r="J3" s="7"/>
      <c r="K3" s="7"/>
      <c r="L3" s="7"/>
      <c r="M3" s="7"/>
      <c r="O3" s="3"/>
    </row>
    <row r="4" spans="1:15" x14ac:dyDescent="0.25">
      <c r="A4" s="11" t="s">
        <v>27</v>
      </c>
      <c r="B4" s="12" t="s">
        <v>100</v>
      </c>
      <c r="C4" s="7" t="str">
        <f ca="1">IFERROR(INDIRECT(ADDRESS(MATCH($H4, Konfiguration!$B$2:'Konfiguration'!$B$9, 0) + 1,1,1,1,"Konfiguration")), "")</f>
        <v/>
      </c>
      <c r="D4" s="7" t="str">
        <f ca="1">IFERROR(INDIRECT(ADDRESS(MATCH($H4, Konfiguration!$B$10:'Konfiguration'!$B$12, 0) + 9,1,1,1,"Konfiguration")), "")</f>
        <v>BMW.062.01.80</v>
      </c>
      <c r="E4" s="14">
        <v>9</v>
      </c>
      <c r="F4" s="7" t="str">
        <f>IF($A4="BMW", Konfiguration!$C$2, IF($A4="EE", Konfiguration!$C$2, ""))</f>
        <v>Project billable</v>
      </c>
      <c r="G4" s="7" t="str">
        <f>IF($A4="BMW", Konfiguration!$D$2, IF($A4="EE", Konfiguration!$D$3, ""))</f>
        <v>remote</v>
      </c>
      <c r="H4" s="9" t="s">
        <v>77</v>
      </c>
      <c r="I4" s="7"/>
      <c r="J4" s="7"/>
      <c r="K4" s="7"/>
      <c r="L4" s="7"/>
      <c r="M4" s="7"/>
      <c r="O4" s="3"/>
    </row>
    <row r="5" spans="1:15" x14ac:dyDescent="0.25">
      <c r="A5" s="11" t="s">
        <v>27</v>
      </c>
      <c r="B5" s="12" t="s">
        <v>101</v>
      </c>
      <c r="C5" s="7" t="str">
        <f ca="1">IFERROR(INDIRECT(ADDRESS(MATCH($H5, Konfiguration!$B$2:'Konfiguration'!$B$9, 0) + 1,1,1,1,"Konfiguration")), "")</f>
        <v/>
      </c>
      <c r="D5" s="7" t="str">
        <f ca="1">IFERROR(INDIRECT(ADDRESS(MATCH($H5, Konfiguration!$B$10:'Konfiguration'!$B$12, 0) + 9,1,1,1,"Konfiguration")), "")</f>
        <v>BMW.062.01.80</v>
      </c>
      <c r="E5" s="14">
        <v>8</v>
      </c>
      <c r="F5" s="7" t="str">
        <f>IF($A5="BMW", Konfiguration!$C$2, IF($A5="EE", Konfiguration!$C$2, ""))</f>
        <v>Project billable</v>
      </c>
      <c r="G5" s="7" t="str">
        <f>IF($A5="BMW", Konfiguration!$D$2, IF($A5="EE", Konfiguration!$D$3, ""))</f>
        <v>remote</v>
      </c>
      <c r="H5" s="9" t="s">
        <v>77</v>
      </c>
      <c r="I5" s="7"/>
      <c r="J5" s="7"/>
      <c r="K5" s="7"/>
      <c r="L5" s="7"/>
      <c r="M5" s="7"/>
      <c r="O5" s="3"/>
    </row>
    <row r="6" spans="1:15" x14ac:dyDescent="0.25">
      <c r="A6" s="11" t="s">
        <v>27</v>
      </c>
      <c r="B6" s="12" t="s">
        <v>102</v>
      </c>
      <c r="C6" s="7" t="str">
        <f ca="1">IFERROR(INDIRECT(ADDRESS(MATCH($H6, Konfiguration!$B$2:'Konfiguration'!$B$9, 0) + 1,1,1,1,"Konfiguration")), "")</f>
        <v/>
      </c>
      <c r="D6" s="7" t="str">
        <f ca="1">IFERROR(INDIRECT(ADDRESS(MATCH($H6, Konfiguration!$B$10:'Konfiguration'!$B$12, 0) + 9,1,1,1,"Konfiguration")), "")</f>
        <v>BMW.059.03.80</v>
      </c>
      <c r="E6" s="14">
        <v>8.75</v>
      </c>
      <c r="F6" s="7" t="str">
        <f>IF($A6="BMW", Konfiguration!$C$2, IF($A6="EE", Konfiguration!$C$2, ""))</f>
        <v>Project billable</v>
      </c>
      <c r="G6" s="7" t="str">
        <f>IF($A6="BMW", Konfiguration!$D$2, IF($A6="EE", Konfiguration!$D$3, ""))</f>
        <v>remote</v>
      </c>
      <c r="H6" s="9" t="s">
        <v>17</v>
      </c>
      <c r="I6" s="7"/>
      <c r="J6" s="7"/>
      <c r="K6" s="7"/>
      <c r="L6" s="7"/>
      <c r="M6" s="7"/>
      <c r="O6" s="3"/>
    </row>
    <row r="7" spans="1:15" x14ac:dyDescent="0.25">
      <c r="A7" s="11" t="s">
        <v>27</v>
      </c>
      <c r="B7" s="12" t="s">
        <v>103</v>
      </c>
      <c r="C7" s="7" t="str">
        <f ca="1">IFERROR(INDIRECT(ADDRESS(MATCH($H7, Konfiguration!$B$2:'Konfiguration'!$B$9, 0) + 1,1,1,1,"Konfiguration")), "")</f>
        <v/>
      </c>
      <c r="D7" s="7" t="str">
        <f ca="1">IFERROR(INDIRECT(ADDRESS(MATCH($H7, Konfiguration!$B$10:'Konfiguration'!$B$12, 0) + 9,1,1,1,"Konfiguration")), "")</f>
        <v>BMW.059.03.80</v>
      </c>
      <c r="E7" s="14">
        <v>8</v>
      </c>
      <c r="F7" s="7" t="str">
        <f>IF($A7="BMW", Konfiguration!$C$2, IF($A7="EE", Konfiguration!$C$2, ""))</f>
        <v>Project billable</v>
      </c>
      <c r="G7" s="7" t="str">
        <f>IF($A7="BMW", Konfiguration!$D$2, IF($A7="EE", Konfiguration!$D$3, ""))</f>
        <v>remote</v>
      </c>
      <c r="H7" s="9" t="s">
        <v>17</v>
      </c>
      <c r="I7" s="7"/>
      <c r="J7" s="7"/>
      <c r="K7" s="7"/>
      <c r="L7" s="7"/>
      <c r="M7" s="7"/>
    </row>
    <row r="8" spans="1:15" x14ac:dyDescent="0.25">
      <c r="A8" s="11" t="s">
        <v>27</v>
      </c>
      <c r="B8" s="12" t="s">
        <v>104</v>
      </c>
      <c r="C8" s="7" t="str">
        <f ca="1">IFERROR(INDIRECT(ADDRESS(MATCH($H8, Konfiguration!$B$2:'Konfiguration'!$B$9, 0) + 1,1,1,1,"Konfiguration")), "")</f>
        <v/>
      </c>
      <c r="D8" s="7" t="str">
        <f ca="1">IFERROR(INDIRECT(ADDRESS(MATCH($H8, Konfiguration!$B$10:'Konfiguration'!$B$12, 0) + 9,1,1,1,"Konfiguration")), "")</f>
        <v>BMW.059.03.80</v>
      </c>
      <c r="E8" s="14">
        <v>8.5</v>
      </c>
      <c r="F8" s="7" t="str">
        <f>IF($A8="BMW", Konfiguration!$C$2, IF($A8="EE", Konfiguration!$C$2, ""))</f>
        <v>Project billable</v>
      </c>
      <c r="G8" s="7" t="str">
        <f>IF($A8="BMW", Konfiguration!$D$2, IF($A8="EE", Konfiguration!$D$3, ""))</f>
        <v>remote</v>
      </c>
      <c r="H8" s="9" t="s">
        <v>17</v>
      </c>
      <c r="I8" s="7"/>
      <c r="J8" s="7"/>
      <c r="K8" s="7"/>
      <c r="L8" s="7"/>
      <c r="M8" s="7"/>
    </row>
    <row r="9" spans="1:15" x14ac:dyDescent="0.25">
      <c r="A9" s="11" t="s">
        <v>27</v>
      </c>
      <c r="B9" s="12" t="s">
        <v>105</v>
      </c>
      <c r="C9" s="7" t="str">
        <f ca="1">IFERROR(INDIRECT(ADDRESS(MATCH($H9, Konfiguration!$B$2:'Konfiguration'!$B$9, 0) + 1,1,1,1,"Konfiguration")), "")</f>
        <v/>
      </c>
      <c r="D9" s="7" t="str">
        <f ca="1">IFERROR(INDIRECT(ADDRESS(MATCH($H9, Konfiguration!$B$10:'Konfiguration'!$B$12, 0) + 9,1,1,1,"Konfiguration")), "")</f>
        <v>BMW.059.03.80</v>
      </c>
      <c r="E9" s="14">
        <v>9.5</v>
      </c>
      <c r="F9" s="7" t="str">
        <f>IF($A9="BMW", Konfiguration!$C$2, IF($A9="EE", Konfiguration!$C$2, ""))</f>
        <v>Project billable</v>
      </c>
      <c r="G9" s="7" t="str">
        <f>IF($A9="BMW", Konfiguration!$D$2, IF($A9="EE", Konfiguration!$D$3, ""))</f>
        <v>remote</v>
      </c>
      <c r="H9" s="9" t="s">
        <v>17</v>
      </c>
      <c r="I9" s="7"/>
      <c r="J9" s="7"/>
      <c r="K9" s="7"/>
      <c r="L9" s="7"/>
      <c r="M9" s="7"/>
    </row>
    <row r="10" spans="1:15" x14ac:dyDescent="0.25">
      <c r="A10" s="11" t="s">
        <v>27</v>
      </c>
      <c r="B10" s="12" t="s">
        <v>106</v>
      </c>
      <c r="C10" s="7" t="str">
        <f ca="1">IFERROR(INDIRECT(ADDRESS(MATCH($H10, Konfiguration!$B$2:'Konfiguration'!$B$9, 0) + 1,1,1,1,"Konfiguration")), "")</f>
        <v/>
      </c>
      <c r="D10" s="7" t="str">
        <f ca="1">IFERROR(INDIRECT(ADDRESS(MATCH($H10, Konfiguration!$B$10:'Konfiguration'!$B$12, 0) + 9,1,1,1,"Konfiguration")), "")</f>
        <v>BMW.059.03.80</v>
      </c>
      <c r="E10" s="14">
        <v>8.25</v>
      </c>
      <c r="F10" s="7" t="str">
        <f>IF($A10="BMW", Konfiguration!$C$2, IF($A10="EE", Konfiguration!$C$2, ""))</f>
        <v>Project billable</v>
      </c>
      <c r="G10" s="7" t="str">
        <f>IF($A10="BMW", Konfiguration!$D$2, IF($A10="EE", Konfiguration!$D$3, ""))</f>
        <v>remote</v>
      </c>
      <c r="H10" s="9" t="s">
        <v>17</v>
      </c>
      <c r="I10" s="7"/>
      <c r="J10" s="7"/>
      <c r="K10" s="7"/>
      <c r="L10" s="7"/>
      <c r="M10" s="7"/>
    </row>
    <row r="11" spans="1:15" x14ac:dyDescent="0.25">
      <c r="A11" s="11" t="s">
        <v>27</v>
      </c>
      <c r="B11" s="12" t="s">
        <v>107</v>
      </c>
      <c r="C11" s="7" t="str">
        <f ca="1">IFERROR(INDIRECT(ADDRESS(MATCH($H11, Konfiguration!$B$2:'Konfiguration'!$B$9, 0) + 1,1,1,1,"Konfiguration")), "")</f>
        <v/>
      </c>
      <c r="D11" s="7" t="str">
        <f ca="1">IFERROR(INDIRECT(ADDRESS(MATCH($H11, Konfiguration!$B$10:'Konfiguration'!$B$12, 0) + 9,1,1,1,"Konfiguration")), "")</f>
        <v>BMW.059.03.80</v>
      </c>
      <c r="E11" s="14">
        <v>8.75</v>
      </c>
      <c r="F11" s="7" t="str">
        <f>IF($A11="BMW", Konfiguration!$C$2, IF($A11="EE", Konfiguration!$C$2, ""))</f>
        <v>Project billable</v>
      </c>
      <c r="G11" s="7" t="str">
        <f>IF($A11="BMW", Konfiguration!$D$2, IF($A11="EE", Konfiguration!$D$3, ""))</f>
        <v>remote</v>
      </c>
      <c r="H11" s="9" t="s">
        <v>17</v>
      </c>
      <c r="I11" s="7"/>
      <c r="J11" s="7"/>
      <c r="K11" s="7"/>
      <c r="L11" s="7"/>
      <c r="M11" s="7"/>
    </row>
    <row r="12" spans="1:15" x14ac:dyDescent="0.25">
      <c r="A12" s="11" t="s">
        <v>59</v>
      </c>
      <c r="B12" s="12" t="s">
        <v>108</v>
      </c>
      <c r="C12" s="7" t="str">
        <f ca="1">IFERROR(INDIRECT(ADDRESS(MATCH($H12, Konfiguration!$B$2:'Konfiguration'!$B$9, 0) + 1,1,1,1,"Konfiguration")), "")</f>
        <v>80500.80</v>
      </c>
      <c r="D12" s="7" t="str">
        <f ca="1">IFERROR(INDIRECT(ADDRESS(MATCH($H12, Konfiguration!$B$10:'Konfiguration'!$B$12, 0) + 9,1,1,1,"Konfiguration")), "")</f>
        <v/>
      </c>
      <c r="E12" s="14">
        <v>8</v>
      </c>
      <c r="F12" s="7" t="str">
        <f>IF($A12="BMW", Konfiguration!$C$2, IF($A12="EE", Konfiguration!$C$2, ""))</f>
        <v/>
      </c>
      <c r="G12" s="7" t="str">
        <f>IF($A12="BMW", Konfiguration!$D$2, IF($A12="EE", Konfiguration!$D$3, ""))</f>
        <v/>
      </c>
      <c r="H12" s="9" t="s">
        <v>16</v>
      </c>
      <c r="I12" s="7"/>
      <c r="J12" s="7"/>
      <c r="K12" s="7"/>
      <c r="L12" s="7"/>
      <c r="M12" s="7"/>
    </row>
    <row r="13" spans="1:15" x14ac:dyDescent="0.25">
      <c r="A13" s="11" t="s">
        <v>27</v>
      </c>
      <c r="B13" s="12" t="s">
        <v>109</v>
      </c>
      <c r="C13" s="7" t="str">
        <f ca="1">IFERROR(INDIRECT(ADDRESS(MATCH($H13, Konfiguration!$B$2:'Konfiguration'!$B$9, 0) + 1,1,1,1,"Konfiguration")), "")</f>
        <v/>
      </c>
      <c r="D13" s="7" t="str">
        <f ca="1">IFERROR(INDIRECT(ADDRESS(MATCH($H13, Konfiguration!$B$10:'Konfiguration'!$B$12, 0) + 9,1,1,1,"Konfiguration")), "")</f>
        <v>BMW.062.01.80</v>
      </c>
      <c r="E13" s="14">
        <v>7.25</v>
      </c>
      <c r="F13" s="7" t="str">
        <f>IF($A13="BMW", Konfiguration!$C$2, IF($A13="EE", Konfiguration!$C$2, ""))</f>
        <v>Project billable</v>
      </c>
      <c r="G13" s="7" t="str">
        <f>IF($A13="BMW", Konfiguration!$D$2, IF($A13="EE", Konfiguration!$D$3, ""))</f>
        <v>remote</v>
      </c>
      <c r="H13" s="9" t="s">
        <v>77</v>
      </c>
      <c r="I13" s="7"/>
      <c r="J13" s="7"/>
      <c r="K13" s="7"/>
      <c r="L13" s="7"/>
      <c r="M13" s="7"/>
    </row>
    <row r="14" spans="1:15" x14ac:dyDescent="0.25">
      <c r="A14" s="11" t="s">
        <v>27</v>
      </c>
      <c r="B14" s="12" t="s">
        <v>110</v>
      </c>
      <c r="C14" s="7" t="str">
        <f ca="1">IFERROR(INDIRECT(ADDRESS(MATCH($H14, Konfiguration!$B$2:'Konfiguration'!$B$9, 0) + 1,1,1,1,"Konfiguration")), "")</f>
        <v/>
      </c>
      <c r="D14" s="7" t="str">
        <f ca="1">IFERROR(INDIRECT(ADDRESS(MATCH($H14, Konfiguration!$B$10:'Konfiguration'!$B$12, 0) + 9,1,1,1,"Konfiguration")), "")</f>
        <v>BMW.059.03.80</v>
      </c>
      <c r="E14" s="14">
        <v>7.25</v>
      </c>
      <c r="F14" s="7" t="str">
        <f>IF($A14="BMW", Konfiguration!$C$2, IF($A14="EE", Konfiguration!$C$2, ""))</f>
        <v>Project billable</v>
      </c>
      <c r="G14" s="7" t="str">
        <f>IF($A14="BMW", Konfiguration!$D$2, IF($A14="EE", Konfiguration!$D$3, ""))</f>
        <v>remote</v>
      </c>
      <c r="H14" s="9" t="s">
        <v>17</v>
      </c>
      <c r="I14" s="7"/>
      <c r="J14" s="7"/>
      <c r="K14" s="7"/>
      <c r="L14" s="7"/>
      <c r="M14" s="7"/>
    </row>
    <row r="15" spans="1:15" x14ac:dyDescent="0.25">
      <c r="A15" s="11" t="s">
        <v>27</v>
      </c>
      <c r="B15" s="12" t="s">
        <v>111</v>
      </c>
      <c r="C15" s="7" t="str">
        <f ca="1">IFERROR(INDIRECT(ADDRESS(MATCH($H15, Konfiguration!$B$2:'Konfiguration'!$B$9, 0) + 1,1,1,1,"Konfiguration")), "")</f>
        <v/>
      </c>
      <c r="D15" s="7" t="str">
        <f ca="1">IFERROR(INDIRECT(ADDRESS(MATCH($H15, Konfiguration!$B$10:'Konfiguration'!$B$12, 0) + 9,1,1,1,"Konfiguration")), "")</f>
        <v>BMW.059.03.80</v>
      </c>
      <c r="E15" s="14">
        <v>9.75</v>
      </c>
      <c r="F15" s="7" t="str">
        <f>IF($A15="BMW", Konfiguration!$C$2, IF($A15="EE", Konfiguration!$C$2, ""))</f>
        <v>Project billable</v>
      </c>
      <c r="G15" s="7" t="str">
        <f>IF($A15="BMW", Konfiguration!$D$2, IF($A15="EE", Konfiguration!$D$3, ""))</f>
        <v>remote</v>
      </c>
      <c r="H15" s="9" t="s">
        <v>17</v>
      </c>
      <c r="I15" s="7"/>
      <c r="J15" s="7"/>
      <c r="K15" s="7"/>
      <c r="L15" s="7"/>
      <c r="M15" s="7"/>
    </row>
    <row r="16" spans="1:15" x14ac:dyDescent="0.25">
      <c r="A16" s="11" t="s">
        <v>27</v>
      </c>
      <c r="B16" s="12" t="s">
        <v>112</v>
      </c>
      <c r="C16" s="7" t="str">
        <f ca="1">IFERROR(INDIRECT(ADDRESS(MATCH($H16, Konfiguration!$B$2:'Konfiguration'!$B$9, 0) + 1,1,1,1,"Konfiguration")), "")</f>
        <v/>
      </c>
      <c r="D16" s="7" t="str">
        <f ca="1">IFERROR(INDIRECT(ADDRESS(MATCH($H16, Konfiguration!$B$10:'Konfiguration'!$B$12, 0) + 9,1,1,1,"Konfiguration")), "")</f>
        <v>BMW.062.01.80</v>
      </c>
      <c r="E16" s="14">
        <v>7.75</v>
      </c>
      <c r="F16" s="7" t="str">
        <f>IF($A16="BMW", Konfiguration!$C$2, IF($A16="EE", Konfiguration!$C$2, ""))</f>
        <v>Project billable</v>
      </c>
      <c r="G16" s="7" t="str">
        <f>IF($A16="BMW", Konfiguration!$D$2, IF($A16="EE", Konfiguration!$D$3, ""))</f>
        <v>remote</v>
      </c>
      <c r="H16" s="9" t="s">
        <v>77</v>
      </c>
      <c r="I16" s="7"/>
      <c r="J16" s="7"/>
      <c r="K16" s="7"/>
      <c r="L16" s="7"/>
      <c r="M16" s="7"/>
    </row>
    <row r="17" spans="1:13" x14ac:dyDescent="0.25">
      <c r="A17" s="11" t="s">
        <v>27</v>
      </c>
      <c r="B17" s="12" t="s">
        <v>113</v>
      </c>
      <c r="C17" s="7" t="str">
        <f ca="1">IFERROR(INDIRECT(ADDRESS(MATCH($H17, Konfiguration!$B$2:'Konfiguration'!$B$9, 0) + 1,1,1,1,"Konfiguration")), "")</f>
        <v/>
      </c>
      <c r="D17" s="7" t="str">
        <f ca="1">IFERROR(INDIRECT(ADDRESS(MATCH($H17, Konfiguration!$B$10:'Konfiguration'!$B$12, 0) + 9,1,1,1,"Konfiguration")), "")</f>
        <v>BMW.059.03.80</v>
      </c>
      <c r="E17" s="14">
        <v>8.75</v>
      </c>
      <c r="F17" s="7" t="str">
        <f>IF($A17="BMW", Konfiguration!$C$2, IF($A17="EE", Konfiguration!$C$2, ""))</f>
        <v>Project billable</v>
      </c>
      <c r="G17" s="7" t="str">
        <f>IF($A17="BMW", Konfiguration!$D$2, IF($A17="EE", Konfiguration!$D$3, ""))</f>
        <v>remote</v>
      </c>
      <c r="H17" s="9" t="s">
        <v>17</v>
      </c>
      <c r="I17" s="7"/>
      <c r="J17" s="7"/>
      <c r="K17" s="7"/>
      <c r="L17" s="7"/>
      <c r="M17" s="7"/>
    </row>
    <row r="18" spans="1:13" x14ac:dyDescent="0.25">
      <c r="A18" s="11" t="s">
        <v>27</v>
      </c>
      <c r="B18" s="12" t="s">
        <v>114</v>
      </c>
      <c r="C18" s="7" t="str">
        <f ca="1">IFERROR(INDIRECT(ADDRESS(MATCH($H18, Konfiguration!$B$2:'Konfiguration'!$B$9, 0) + 1,1,1,1,"Konfiguration")), "")</f>
        <v/>
      </c>
      <c r="D18" s="7" t="str">
        <f ca="1">IFERROR(INDIRECT(ADDRESS(MATCH($H18, Konfiguration!$B$10:'Konfiguration'!$B$12, 0) + 9,1,1,1,"Konfiguration")), "")</f>
        <v>BMW.059.03.80</v>
      </c>
      <c r="E18" s="14">
        <v>8.5</v>
      </c>
      <c r="F18" s="7" t="str">
        <f>IF($A18="BMW", Konfiguration!$C$2, IF($A18="EE", Konfiguration!$C$2, ""))</f>
        <v>Project billable</v>
      </c>
      <c r="G18" s="7" t="str">
        <f>IF($A18="BMW", Konfiguration!$D$2, IF($A18="EE", Konfiguration!$D$3, ""))</f>
        <v>remote</v>
      </c>
      <c r="H18" s="9" t="s">
        <v>17</v>
      </c>
      <c r="I18" s="7"/>
      <c r="J18" s="7"/>
      <c r="K18" s="7"/>
      <c r="L18" s="7"/>
      <c r="M18" s="7"/>
    </row>
    <row r="19" spans="1:13" x14ac:dyDescent="0.25">
      <c r="A19" s="11" t="s">
        <v>27</v>
      </c>
      <c r="B19" s="12" t="s">
        <v>115</v>
      </c>
      <c r="C19" s="7" t="str">
        <f ca="1">IFERROR(INDIRECT(ADDRESS(MATCH($H19, Konfiguration!$B$2:'Konfiguration'!$B$9, 0) + 1,1,1,1,"Konfiguration")), "")</f>
        <v/>
      </c>
      <c r="D19" s="7" t="str">
        <f ca="1">IFERROR(INDIRECT(ADDRESS(MATCH($H19, Konfiguration!$B$10:'Konfiguration'!$B$12, 0) + 9,1,1,1,"Konfiguration")), "")</f>
        <v>BMW.059.03.80</v>
      </c>
      <c r="E19" s="14">
        <v>7</v>
      </c>
      <c r="F19" s="7" t="str">
        <f>IF($A19="BMW", Konfiguration!$C$2, IF($A19="EE", Konfiguration!$C$2, ""))</f>
        <v>Project billable</v>
      </c>
      <c r="G19" s="7" t="str">
        <f>IF($A19="BMW", Konfiguration!$D$2, IF($A19="EE", Konfiguration!$D$3, ""))</f>
        <v>remote</v>
      </c>
      <c r="H19" s="9" t="s">
        <v>17</v>
      </c>
      <c r="I19" s="7"/>
      <c r="J19" s="7"/>
      <c r="K19" s="7"/>
      <c r="L19" s="7"/>
      <c r="M19" s="7"/>
    </row>
    <row r="20" spans="1:13" x14ac:dyDescent="0.25">
      <c r="A20" s="11" t="s">
        <v>27</v>
      </c>
      <c r="B20" s="12" t="s">
        <v>116</v>
      </c>
      <c r="C20" s="7" t="str">
        <f ca="1">IFERROR(INDIRECT(ADDRESS(MATCH($H20, Konfiguration!$B$2:'Konfiguration'!$B$9, 0) + 1,1,1,1,"Konfiguration")), "")</f>
        <v/>
      </c>
      <c r="D20" s="7" t="str">
        <f ca="1">IFERROR(INDIRECT(ADDRESS(MATCH($H20, Konfiguration!$B$10:'Konfiguration'!$B$12, 0) + 9,1,1,1,"Konfiguration")), "")</f>
        <v>BMW.059.03.80</v>
      </c>
      <c r="E20" s="14">
        <v>9</v>
      </c>
      <c r="F20" s="7" t="str">
        <f>IF($A20="BMW", Konfiguration!$C$2, IF($A20="EE", Konfiguration!$C$2, ""))</f>
        <v>Project billable</v>
      </c>
      <c r="G20" s="7" t="str">
        <f>IF($A20="BMW", Konfiguration!$D$2, IF($A20="EE", Konfiguration!$D$3, ""))</f>
        <v>remote</v>
      </c>
      <c r="H20" s="9" t="s">
        <v>17</v>
      </c>
      <c r="I20" s="7"/>
      <c r="J20" s="7"/>
      <c r="K20" s="7"/>
      <c r="L20" s="7"/>
      <c r="M20" s="7"/>
    </row>
    <row r="21" spans="1:13" x14ac:dyDescent="0.25">
      <c r="A21" s="11" t="s">
        <v>27</v>
      </c>
      <c r="B21" s="12" t="s">
        <v>117</v>
      </c>
      <c r="C21" s="7" t="str">
        <f ca="1">IFERROR(INDIRECT(ADDRESS(MATCH($H21, Konfiguration!$B$2:'Konfiguration'!$B$9, 0) + 1,1,1,1,"Konfiguration")), "")</f>
        <v/>
      </c>
      <c r="D21" s="7" t="str">
        <f ca="1">IFERROR(INDIRECT(ADDRESS(MATCH($H21, Konfiguration!$B$10:'Konfiguration'!$B$12, 0) + 9,1,1,1,"Konfiguration")), "")</f>
        <v>BMW.059.03.80</v>
      </c>
      <c r="E21" s="14">
        <v>8.5</v>
      </c>
      <c r="F21" s="7" t="str">
        <f>IF($A21="BMW", Konfiguration!$C$2, IF($A21="EE", Konfiguration!$C$2, ""))</f>
        <v>Project billable</v>
      </c>
      <c r="G21" s="7" t="str">
        <f>IF($A21="BMW", Konfiguration!$D$2, IF($A21="EE", Konfiguration!$D$3, ""))</f>
        <v>remote</v>
      </c>
      <c r="H21" s="9" t="s">
        <v>17</v>
      </c>
      <c r="I21" s="7"/>
      <c r="J21" s="7"/>
      <c r="K21" s="7"/>
      <c r="L21" s="7"/>
      <c r="M21" s="7"/>
    </row>
    <row r="22" spans="1:13" x14ac:dyDescent="0.25">
      <c r="A22" s="11" t="s">
        <v>27</v>
      </c>
      <c r="B22" s="12" t="s">
        <v>118</v>
      </c>
      <c r="C22" s="7" t="str">
        <f ca="1">IFERROR(INDIRECT(ADDRESS(MATCH($H22, Konfiguration!$B$2:'Konfiguration'!$B$9, 0) + 1,1,1,1,"Konfiguration")), "")</f>
        <v/>
      </c>
      <c r="D22" s="7" t="str">
        <f ca="1">IFERROR(INDIRECT(ADDRESS(MATCH($H22, Konfiguration!$B$10:'Konfiguration'!$B$12, 0) + 9,1,1,1,"Konfiguration")), "")</f>
        <v>BMW.059.03.80</v>
      </c>
      <c r="E22" s="14">
        <v>7.75</v>
      </c>
      <c r="F22" s="7" t="str">
        <f>IF($A22="BMW", Konfiguration!$C$2, IF($A22="EE", Konfiguration!$C$2, ""))</f>
        <v>Project billable</v>
      </c>
      <c r="G22" s="7" t="str">
        <f>IF($A22="BMW", Konfiguration!$D$2, IF($A22="EE", Konfiguration!$D$3, ""))</f>
        <v>remote</v>
      </c>
      <c r="H22" s="9" t="s">
        <v>17</v>
      </c>
      <c r="I22" s="7"/>
      <c r="J22" s="7"/>
      <c r="K22" s="7"/>
      <c r="L22" s="7"/>
      <c r="M22" s="7"/>
    </row>
    <row r="23" spans="1:13" x14ac:dyDescent="0.25">
      <c r="A23" s="11"/>
      <c r="B23" s="12"/>
      <c r="C23" s="7" t="str">
        <f ca="1">IFERROR(INDIRECT(ADDRESS(MATCH($H23, Konfiguration!$B$2:'Konfiguration'!$B$9, 0) + 1,1,1,1,"Konfiguration")), "")</f>
        <v/>
      </c>
      <c r="D23" s="7" t="str">
        <f ca="1">IFERROR(INDIRECT(ADDRESS(MATCH($H23, Konfiguration!$B$10:'Konfiguration'!$B$12, 0) + 9,1,1,1,"Konfiguration")), "")</f>
        <v/>
      </c>
      <c r="E23" s="14" t="s">
        <v>67</v>
      </c>
      <c r="F23" s="7" t="str">
        <f>IF($A23="BMW", Konfiguration!$C$2, IF($A23="EE", Konfiguration!$C$2, ""))</f>
        <v/>
      </c>
      <c r="G23" s="7" t="str">
        <f>IF($A23="BMW", Konfiguration!$D$2, IF($A23="EE", Konfiguration!$D$3, ""))</f>
        <v/>
      </c>
      <c r="H23" s="9"/>
      <c r="I23" s="7"/>
      <c r="J23" s="7"/>
      <c r="K23" s="7"/>
      <c r="L23" s="7"/>
      <c r="M23" s="7"/>
    </row>
    <row r="24" spans="1:13" x14ac:dyDescent="0.25">
      <c r="A24" s="11"/>
      <c r="B24" s="12"/>
      <c r="C24" s="7" t="str">
        <f ca="1">IFERROR(INDIRECT(ADDRESS(MATCH($H24, Konfiguration!$B$2:'Konfiguration'!$B$9, 0) + 1,1,1,1,"Konfiguration")), "")</f>
        <v/>
      </c>
      <c r="D24" s="7" t="str">
        <f ca="1">IFERROR(INDIRECT(ADDRESS(MATCH($H24, Konfiguration!$B$10:'Konfiguration'!$B$12, 0) + 9,1,1,1,"Konfiguration")), "")</f>
        <v/>
      </c>
      <c r="E24" s="14"/>
      <c r="F24" s="7" t="str">
        <f>IF($A24="BMW", Konfiguration!$C$2, IF($A24="EE", Konfiguration!$C$2, ""))</f>
        <v/>
      </c>
      <c r="G24" s="7" t="str">
        <f>IF($A24="BMW", Konfiguration!$D$2, IF($A24="EE", Konfiguration!$D$3, ""))</f>
        <v/>
      </c>
      <c r="H24" s="9"/>
      <c r="I24" s="7"/>
      <c r="J24" s="7"/>
      <c r="K24" s="7"/>
      <c r="L24" s="7"/>
      <c r="M24" s="7"/>
    </row>
    <row r="25" spans="1:13" x14ac:dyDescent="0.25">
      <c r="A25" s="11"/>
      <c r="B25" s="12"/>
      <c r="C25" s="7" t="str">
        <f ca="1">IFERROR(INDIRECT(ADDRESS(MATCH($H25, Konfiguration!$B$2:'Konfiguration'!$B$9, 0) + 1,1,1,1,"Konfiguration")), "")</f>
        <v/>
      </c>
      <c r="D25" s="7" t="str">
        <f ca="1">IFERROR(INDIRECT(ADDRESS(MATCH($H25, Konfiguration!$B$10:'Konfiguration'!$B$12, 0) + 9,1,1,1,"Konfiguration")), "")</f>
        <v/>
      </c>
      <c r="E25" s="14"/>
      <c r="F25" s="7" t="str">
        <f>IF($A25="BMW", Konfiguration!$C$2, IF($A25="EE", Konfiguration!$C$2, ""))</f>
        <v/>
      </c>
      <c r="G25" s="7" t="str">
        <f>IF($A25="BMW", Konfiguration!$D$2, IF($A25="EE", Konfiguration!$D$3, ""))</f>
        <v/>
      </c>
      <c r="H25" s="9"/>
      <c r="I25" s="7"/>
      <c r="J25" s="7"/>
      <c r="K25" s="7"/>
      <c r="L25" s="7"/>
      <c r="M25" s="7"/>
    </row>
    <row r="26" spans="1:13" x14ac:dyDescent="0.25">
      <c r="A26" s="11"/>
      <c r="B26" s="12"/>
      <c r="C26" s="7" t="str">
        <f ca="1">IFERROR(INDIRECT(ADDRESS(MATCH($H26, Konfiguration!$B$2:'Konfiguration'!$B$9, 0) + 1,1,1,1,"Konfiguration")), "")</f>
        <v/>
      </c>
      <c r="D26" s="7" t="str">
        <f ca="1">IFERROR(INDIRECT(ADDRESS(MATCH($H26, Konfiguration!$B$10:'Konfiguration'!$B$12, 0) + 9,1,1,1,"Konfiguration")), "")</f>
        <v/>
      </c>
      <c r="E26" s="14"/>
      <c r="F26" s="7" t="str">
        <f>IF($A26="BMW", Konfiguration!$C$2, IF($A26="EE", Konfiguration!$C$2, ""))</f>
        <v/>
      </c>
      <c r="G26" s="7" t="str">
        <f>IF($A26="BMW", Konfiguration!$D$2, IF($A26="EE", Konfiguration!$D$3, ""))</f>
        <v/>
      </c>
      <c r="H26" s="9"/>
      <c r="I26" s="7"/>
      <c r="J26" s="7"/>
      <c r="K26" s="7"/>
      <c r="L26" s="7"/>
      <c r="M26" s="7"/>
    </row>
    <row r="27" spans="1:13" x14ac:dyDescent="0.25">
      <c r="A27" s="11"/>
      <c r="B27" s="12"/>
      <c r="C27" s="7" t="str">
        <f ca="1">IFERROR(INDIRECT(ADDRESS(MATCH($H27, Konfiguration!$B$2:'Konfiguration'!$B$9, 0) + 1,1,1,1,"Konfiguration")), "")</f>
        <v/>
      </c>
      <c r="D27" s="7" t="str">
        <f ca="1">IFERROR(INDIRECT(ADDRESS(MATCH($H27, Konfiguration!$B$10:'Konfiguration'!$B$12, 0) + 9,1,1,1,"Konfiguration")), "")</f>
        <v/>
      </c>
      <c r="E27" s="14"/>
      <c r="F27" s="7" t="str">
        <f>IF($A27="BMW", Konfiguration!$C$2, IF($A27="EE", Konfiguration!$C$2, ""))</f>
        <v/>
      </c>
      <c r="G27" s="7" t="str">
        <f>IF($A27="BMW", Konfiguration!$D$2, IF($A27="EE", Konfiguration!$D$3, ""))</f>
        <v/>
      </c>
      <c r="H27" s="10"/>
      <c r="I27" s="7"/>
      <c r="J27" s="7"/>
      <c r="K27" s="7"/>
      <c r="L27" s="7"/>
      <c r="M27" s="7"/>
    </row>
    <row r="28" spans="1:13" x14ac:dyDescent="0.25">
      <c r="A28" s="11"/>
      <c r="B28" s="12"/>
      <c r="C28" s="7" t="str">
        <f ca="1">IFERROR(INDIRECT(ADDRESS(MATCH($H28, Konfiguration!$B$2:'Konfiguration'!$B$9, 0) + 1,1,1,1,"Konfiguration")), "")</f>
        <v/>
      </c>
      <c r="D28" s="7" t="str">
        <f ca="1">IFERROR(INDIRECT(ADDRESS(MATCH($H28, Konfiguration!$B$10:'Konfiguration'!$B$12, 0) + 9,1,1,1,"Konfiguration")), "")</f>
        <v/>
      </c>
      <c r="E28" s="14"/>
      <c r="F28" s="7" t="str">
        <f>IF($A28="BMW", Konfiguration!$C$2, IF($A28="EE", Konfiguration!$C$2, ""))</f>
        <v/>
      </c>
      <c r="G28" s="7" t="str">
        <f>IF($A28="BMW", Konfiguration!$D$2, IF($A28="EE", Konfiguration!$D$3, ""))</f>
        <v/>
      </c>
      <c r="H28" s="10"/>
      <c r="I28" s="7"/>
      <c r="J28" s="7"/>
      <c r="K28" s="7"/>
      <c r="L28" s="7"/>
      <c r="M28" s="7"/>
    </row>
    <row r="29" spans="1:13" x14ac:dyDescent="0.25">
      <c r="A29" s="11"/>
      <c r="B29" s="12"/>
      <c r="C29" s="7" t="str">
        <f ca="1">IFERROR(INDIRECT(ADDRESS(MATCH($H29, Konfiguration!$B$2:'Konfiguration'!$B$9, 0) + 1,1,1,1,"Konfiguration")), "")</f>
        <v/>
      </c>
      <c r="D29" s="7" t="str">
        <f ca="1">IFERROR(INDIRECT(ADDRESS(MATCH($H29, Konfiguration!$B$10:'Konfiguration'!$B$12, 0) + 9,1,1,1,"Konfiguration")), "")</f>
        <v/>
      </c>
      <c r="E29" s="14"/>
      <c r="F29" s="7" t="str">
        <f>IF($A29="BMW", Konfiguration!$C$2, IF($A29="EE", Konfiguration!$C$2, ""))</f>
        <v/>
      </c>
      <c r="G29" s="7" t="str">
        <f>IF($A29="BMW", Konfiguration!$D$2, IF($A29="EE", Konfiguration!$D$3, ""))</f>
        <v/>
      </c>
      <c r="H29" s="10"/>
      <c r="I29" s="7"/>
      <c r="J29" s="7"/>
      <c r="K29" s="7"/>
      <c r="L29" s="7"/>
      <c r="M29" s="7"/>
    </row>
    <row r="30" spans="1:13" x14ac:dyDescent="0.25">
      <c r="A30" s="11"/>
      <c r="B30" s="13"/>
      <c r="C30" s="7" t="str">
        <f ca="1">IFERROR(INDIRECT(ADDRESS(MATCH($H30, Konfiguration!$B$2:'Konfiguration'!$B$9, 0) + 1,1,1,1,"Konfiguration")), "")</f>
        <v/>
      </c>
      <c r="D30" s="7" t="str">
        <f ca="1">IFERROR(INDIRECT(ADDRESS(MATCH($H30, Konfiguration!$B$10:'Konfiguration'!$B$12, 0) + 9,1,1,1,"Konfiguration")), "")</f>
        <v/>
      </c>
      <c r="E30" s="14"/>
      <c r="F30" s="7" t="str">
        <f>IF($A30="BMW", Konfiguration!$C$2, IF($A30="EE", Konfiguration!$C$2, ""))</f>
        <v/>
      </c>
      <c r="G30" s="7" t="str">
        <f>IF($A30="BMW", Konfiguration!$D$2, IF($A30="EE", Konfiguration!$D$3, ""))</f>
        <v/>
      </c>
      <c r="H30" s="10"/>
      <c r="I30" s="7"/>
      <c r="J30" s="7"/>
      <c r="K30" s="7"/>
      <c r="L30" s="7"/>
      <c r="M30" s="7"/>
    </row>
    <row r="31" spans="1:13" x14ac:dyDescent="0.25">
      <c r="A31" s="11"/>
      <c r="B31" s="13"/>
      <c r="C31" s="7" t="str">
        <f ca="1">IFERROR(INDIRECT(ADDRESS(MATCH($H31, Konfiguration!$B$2:'Konfiguration'!$B$9, 0) + 1,1,1,1,"Konfiguration")), "")</f>
        <v/>
      </c>
      <c r="D31" s="7" t="str">
        <f ca="1">IFERROR(INDIRECT(ADDRESS(MATCH($H31, Konfiguration!$B$10:'Konfiguration'!$B$12, 0) + 9,1,1,1,"Konfiguration")), "")</f>
        <v/>
      </c>
      <c r="E31" s="14"/>
      <c r="F31" s="7" t="str">
        <f>IF($A31="BMW", Konfiguration!$C$2, IF($A31="EE", Konfiguration!$C$2, ""))</f>
        <v/>
      </c>
      <c r="G31" s="7" t="str">
        <f>IF($A31="BMW", Konfiguration!$D$2, IF($A31="EE", Konfiguration!$D$3, ""))</f>
        <v/>
      </c>
      <c r="H31" s="10"/>
      <c r="I31" s="7"/>
      <c r="J31" s="7"/>
      <c r="K31" s="7"/>
      <c r="L31" s="7"/>
      <c r="M31" s="7"/>
    </row>
    <row r="32" spans="1:13" x14ac:dyDescent="0.25">
      <c r="A32" s="11"/>
      <c r="B32" s="13"/>
      <c r="C32" s="7" t="str">
        <f ca="1">IFERROR(INDIRECT(ADDRESS(MATCH($H32, Konfiguration!$B$2:'Konfiguration'!$B$9, 0) + 1,1,1,1,"Konfiguration")), "")</f>
        <v/>
      </c>
      <c r="D32" s="7" t="str">
        <f ca="1">IFERROR(INDIRECT(ADDRESS(MATCH($H32, Konfiguration!$B$10:'Konfiguration'!$B$12, 0) + 9,1,1,1,"Konfiguration")), "")</f>
        <v/>
      </c>
      <c r="E32" s="14"/>
      <c r="F32" s="7" t="str">
        <f>IF($A32="BMW", Konfiguration!$C$2, IF($A32="EE", Konfiguration!$C$2, ""))</f>
        <v/>
      </c>
      <c r="G32" s="7" t="str">
        <f>IF($A32="BMW", Konfiguration!$D$2, IF($A32="EE", Konfiguration!$D$3, ""))</f>
        <v/>
      </c>
      <c r="H32" s="10"/>
      <c r="I32" s="7"/>
      <c r="J32" s="7"/>
      <c r="K32" s="7"/>
      <c r="L32" s="7"/>
      <c r="M32" s="7"/>
    </row>
    <row r="33" spans="2:5" x14ac:dyDescent="0.25">
      <c r="E33" s="14"/>
    </row>
    <row r="35" spans="2:5" x14ac:dyDescent="0.25">
      <c r="E35" s="8"/>
    </row>
    <row r="36" spans="2:5" x14ac:dyDescent="0.25">
      <c r="B36" s="1"/>
    </row>
    <row r="37" spans="2:5" x14ac:dyDescent="0.25">
      <c r="B37" s="1"/>
    </row>
    <row r="38" spans="2:5" x14ac:dyDescent="0.25">
      <c r="B38" s="1"/>
    </row>
    <row r="39" spans="2:5" x14ac:dyDescent="0.25">
      <c r="B39" s="1"/>
    </row>
    <row r="40" spans="2:5" x14ac:dyDescent="0.25">
      <c r="B40" s="1"/>
    </row>
    <row r="41" spans="2:5" x14ac:dyDescent="0.25">
      <c r="B41" s="1"/>
    </row>
    <row r="42" spans="2:5" x14ac:dyDescent="0.25">
      <c r="B42" s="1"/>
    </row>
    <row r="43" spans="2:5" x14ac:dyDescent="0.25">
      <c r="B43" s="1"/>
    </row>
    <row r="44" spans="2:5" x14ac:dyDescent="0.25">
      <c r="B44" s="1"/>
    </row>
    <row r="45" spans="2:5" x14ac:dyDescent="0.25">
      <c r="B45" s="1"/>
    </row>
    <row r="46" spans="2:5" x14ac:dyDescent="0.25">
      <c r="B46" s="1"/>
    </row>
    <row r="47" spans="2:5" x14ac:dyDescent="0.25">
      <c r="B47" s="1"/>
    </row>
    <row r="48" spans="2:5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</sheetData>
  <conditionalFormatting sqref="E2:E33">
    <cfRule type="cellIs" dxfId="0" priority="1" operator="notBetween">
      <formula>4</formula>
      <formula>10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Ungültige Kostenstelle" error="Wählen Sie einen gültigen Wert für diese Zelle." promptTitle="Kostenstelle auswählen" prompt="Bitte wählen Sie eine Kostenstelle.">
          <x14:formula1>
            <xm:f>Konfiguration!$B$2:$B$1048576</xm:f>
          </x14:formula1>
          <xm:sqref>H2:H32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11"/>
  <sheetViews>
    <sheetView workbookViewId="0">
      <selection activeCell="A11" sqref="A11"/>
    </sheetView>
  </sheetViews>
  <sheetFormatPr baseColWidth="10" defaultRowHeight="15" x14ac:dyDescent="0.25"/>
  <cols>
    <col min="1" max="1" width="14.42578125" bestFit="1" customWidth="1"/>
    <col min="2" max="2" width="39.28515625" bestFit="1" customWidth="1"/>
    <col min="3" max="3" width="14.42578125" bestFit="1" customWidth="1"/>
    <col min="4" max="4" width="25.28515625" bestFit="1" customWidth="1"/>
  </cols>
  <sheetData>
    <row r="1" spans="1:4" x14ac:dyDescent="0.25">
      <c r="A1" s="22" t="s">
        <v>23</v>
      </c>
      <c r="B1" s="22"/>
      <c r="C1" s="2" t="s">
        <v>3</v>
      </c>
      <c r="D1" s="2" t="s">
        <v>4</v>
      </c>
    </row>
    <row r="2" spans="1:4" x14ac:dyDescent="0.25">
      <c r="A2" s="16" t="s">
        <v>19</v>
      </c>
      <c r="B2" s="4" t="s">
        <v>21</v>
      </c>
      <c r="C2" s="4" t="s">
        <v>18</v>
      </c>
      <c r="D2" s="4" t="s">
        <v>12</v>
      </c>
    </row>
    <row r="3" spans="1:4" x14ac:dyDescent="0.25">
      <c r="A3" s="16" t="s">
        <v>20</v>
      </c>
      <c r="B3" s="4" t="s">
        <v>22</v>
      </c>
      <c r="D3" s="4" t="s">
        <v>26</v>
      </c>
    </row>
    <row r="4" spans="1:4" x14ac:dyDescent="0.25">
      <c r="A4" s="16" t="s">
        <v>14</v>
      </c>
      <c r="B4" s="4" t="s">
        <v>15</v>
      </c>
    </row>
    <row r="5" spans="1:4" x14ac:dyDescent="0.25">
      <c r="A5" s="16" t="s">
        <v>13</v>
      </c>
      <c r="B5" s="4" t="s">
        <v>16</v>
      </c>
    </row>
    <row r="6" spans="1:4" x14ac:dyDescent="0.25">
      <c r="A6" s="17" t="s">
        <v>55</v>
      </c>
      <c r="B6" s="4" t="s">
        <v>54</v>
      </c>
    </row>
    <row r="7" spans="1:4" x14ac:dyDescent="0.25">
      <c r="A7" s="17" t="s">
        <v>78</v>
      </c>
      <c r="B7" s="4" t="s">
        <v>79</v>
      </c>
    </row>
    <row r="8" spans="1:4" x14ac:dyDescent="0.25">
      <c r="A8" s="17" t="s">
        <v>56</v>
      </c>
      <c r="B8" s="4" t="s">
        <v>28</v>
      </c>
    </row>
    <row r="9" spans="1:4" x14ac:dyDescent="0.25">
      <c r="A9" s="16" t="s">
        <v>24</v>
      </c>
      <c r="B9" s="4" t="s">
        <v>25</v>
      </c>
    </row>
    <row r="10" spans="1:4" x14ac:dyDescent="0.25">
      <c r="A10" s="5" t="s">
        <v>11</v>
      </c>
      <c r="B10" s="5" t="s">
        <v>17</v>
      </c>
    </row>
    <row r="11" spans="1:4" x14ac:dyDescent="0.25">
      <c r="A11" s="5" t="s">
        <v>76</v>
      </c>
      <c r="B11" s="5" t="s">
        <v>77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Import from App</vt:lpstr>
      <vt:lpstr>Export for Valit</vt:lpstr>
      <vt:lpstr>Konfiguration</vt:lpstr>
      <vt:lpstr>KST</vt:lpstr>
    </vt:vector>
  </TitlesOfParts>
  <Company>BMW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Ludersdorfer Marvin</dc:creator>
  <cp:lastModifiedBy>Marvin Ludersdorfer</cp:lastModifiedBy>
  <cp:lastPrinted>2017-02-07T15:43:42Z</cp:lastPrinted>
  <dcterms:created xsi:type="dcterms:W3CDTF">2017-02-07T12:29:56Z</dcterms:created>
  <dcterms:modified xsi:type="dcterms:W3CDTF">2020-02-03T06:49:15Z</dcterms:modified>
</cp:coreProperties>
</file>